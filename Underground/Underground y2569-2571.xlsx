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namedSheetViews/namedSheetView2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uihoffice.sharepoint.com/sites/UIHOutsidePlantDatabaseDesign/Shared Documents/[3] Regulatory/[0] Summary Regulatory/ข้อมูลประกอบเขียนโปรแกรม/"/>
    </mc:Choice>
  </mc:AlternateContent>
  <xr:revisionPtr revIDLastSave="2073" documentId="13_ncr:1_{BDB77594-56B9-488F-AF46-7C82E93ACA53}" xr6:coauthVersionLast="47" xr6:coauthVersionMax="47" xr10:uidLastSave="{8B3E6F82-36A0-492E-8CC0-C971C73921F6}"/>
  <bookViews>
    <workbookView xWindow="-120" yWindow="-120" windowWidth="20730" windowHeight="11040" xr2:uid="{00000000-000D-0000-FFFF-FFFF00000000}"/>
  </bookViews>
  <sheets>
    <sheet name="UG_NBT y2569-2571" sheetId="2" r:id="rId1"/>
    <sheet name="UG_NBT y2569-2571 (mat)" sheetId="3" state="hidden" r:id="rId2"/>
    <sheet name="PV" sheetId="4" state="hidden" r:id="rId3"/>
    <sheet name="Average" sheetId="5" state="hidden" r:id="rId4"/>
  </sheets>
  <definedNames>
    <definedName name="_xlnm._FilterDatabase" localSheetId="0" hidden="1">'UG_NBT y2569-2571'!$A$3:$Y$175</definedName>
    <definedName name="_xlnm._FilterDatabase" localSheetId="1" hidden="1">'UG_NBT y2569-2571 (mat)'!$A$3:$AH$175</definedName>
  </definedName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0" i="3" l="1"/>
  <c r="P13" i="3"/>
  <c r="O133" i="3"/>
  <c r="O117" i="3"/>
  <c r="O107" i="3"/>
  <c r="P133" i="3"/>
  <c r="P117" i="3"/>
  <c r="P107" i="3"/>
  <c r="P97" i="3"/>
  <c r="O97" i="3" a="1"/>
  <c r="P175" i="3"/>
  <c r="P174" i="3"/>
  <c r="P171" i="3"/>
  <c r="P170" i="3"/>
  <c r="P169" i="3"/>
  <c r="P168" i="3"/>
  <c r="P167" i="3"/>
  <c r="P166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P152" i="3"/>
  <c r="P151" i="3"/>
  <c r="P150" i="3"/>
  <c r="P149" i="3"/>
  <c r="P147" i="3"/>
  <c r="P146" i="3"/>
  <c r="P145" i="3"/>
  <c r="P144" i="3"/>
  <c r="P143" i="3"/>
  <c r="P142" i="3"/>
  <c r="P141" i="3"/>
  <c r="P140" i="3"/>
  <c r="P139" i="3"/>
  <c r="P138" i="3"/>
  <c r="P137" i="3"/>
  <c r="P136" i="3"/>
  <c r="P135" i="3"/>
  <c r="P132" i="3"/>
  <c r="P131" i="3"/>
  <c r="P130" i="3"/>
  <c r="P129" i="3"/>
  <c r="P128" i="3"/>
  <c r="P127" i="3"/>
  <c r="P126" i="3"/>
  <c r="P125" i="3"/>
  <c r="P124" i="3"/>
  <c r="P123" i="3"/>
  <c r="P122" i="3"/>
  <c r="P121" i="3"/>
  <c r="P120" i="3"/>
  <c r="P119" i="3"/>
  <c r="P118" i="3"/>
  <c r="P116" i="3"/>
  <c r="P115" i="3"/>
  <c r="P114" i="3"/>
  <c r="P113" i="3"/>
  <c r="P112" i="3"/>
  <c r="P111" i="3"/>
  <c r="P110" i="3"/>
  <c r="P109" i="3"/>
  <c r="P108" i="3"/>
  <c r="P106" i="3"/>
  <c r="P105" i="3"/>
  <c r="P103" i="3"/>
  <c r="P102" i="3"/>
  <c r="P101" i="3"/>
  <c r="P98" i="3"/>
  <c r="O175" i="3" a="1"/>
  <c r="O174" i="3" a="1"/>
  <c r="O171" i="3" a="1"/>
  <c r="O170" i="3" a="1"/>
  <c r="O169" i="3" a="1"/>
  <c r="O168" i="3" a="1"/>
  <c r="O167" i="3" a="1"/>
  <c r="O166" i="3" a="1"/>
  <c r="O165" i="3" a="1"/>
  <c r="O164" i="3" a="1"/>
  <c r="O163" i="3" a="1"/>
  <c r="O162" i="3" a="1"/>
  <c r="O161" i="3" a="1"/>
  <c r="O160" i="3" a="1"/>
  <c r="O159" i="3" a="1"/>
  <c r="O158" i="3" a="1"/>
  <c r="O157" i="3" a="1"/>
  <c r="O156" i="3" a="1"/>
  <c r="O155" i="3" a="1"/>
  <c r="O154" i="3" a="1"/>
  <c r="O153" i="3" a="1"/>
  <c r="O152" i="3" a="1"/>
  <c r="O151" i="3" a="1"/>
  <c r="O150" i="3" a="1"/>
  <c r="O149" i="3" a="1"/>
  <c r="O147" i="3" a="1"/>
  <c r="O146" i="3" a="1"/>
  <c r="O145" i="3" a="1"/>
  <c r="O144" i="3" a="1"/>
  <c r="O143" i="3" a="1"/>
  <c r="O142" i="3" a="1"/>
  <c r="O141" i="3" a="1"/>
  <c r="O140" i="3" a="1"/>
  <c r="O139" i="3" a="1"/>
  <c r="O138" i="3" a="1"/>
  <c r="O137" i="3" a="1"/>
  <c r="O136" i="3" a="1"/>
  <c r="O135" i="3" a="1"/>
  <c r="O132" i="3" a="1"/>
  <c r="O131" i="3" a="1"/>
  <c r="O130" i="3" a="1"/>
  <c r="O129" i="3" a="1"/>
  <c r="O128" i="3" a="1"/>
  <c r="O127" i="3" a="1"/>
  <c r="O126" i="3" a="1"/>
  <c r="O125" i="3" a="1"/>
  <c r="O124" i="3" a="1"/>
  <c r="O123" i="3" a="1"/>
  <c r="O122" i="3" a="1"/>
  <c r="O121" i="3" a="1"/>
  <c r="O120" i="3" a="1"/>
  <c r="O119" i="3" a="1"/>
  <c r="O118" i="3" a="1"/>
  <c r="O116" i="3" a="1"/>
  <c r="O115" i="3" a="1"/>
  <c r="O114" i="3" a="1"/>
  <c r="O113" i="3" a="1"/>
  <c r="O112" i="3" a="1"/>
  <c r="O111" i="3" a="1"/>
  <c r="O110" i="3" a="1"/>
  <c r="O109" i="3" a="1"/>
  <c r="O108" i="3" a="1"/>
  <c r="O106" i="3" a="1"/>
  <c r="O105" i="3" a="1"/>
  <c r="O103" i="3" a="1"/>
  <c r="O102" i="3" a="1"/>
  <c r="O101" i="3" a="1"/>
  <c r="O98" i="3" a="1"/>
  <c r="AC175" i="3" a="1"/>
  <c r="AB175" i="3" a="1"/>
  <c r="Z175" i="3" a="1"/>
  <c r="AC174" i="3" a="1"/>
  <c r="AA174" i="3" a="1"/>
  <c r="Z174" i="3" a="1"/>
  <c r="AC173" i="3" a="1"/>
  <c r="AB173" i="3" a="1"/>
  <c r="AA173" i="3" a="1"/>
  <c r="Z173" i="3" a="1"/>
  <c r="AC172" i="3" a="1"/>
  <c r="AB172" i="3" a="1"/>
  <c r="AA172" i="3" a="1"/>
  <c r="Z172" i="3" a="1"/>
  <c r="AC171" i="3" a="1"/>
  <c r="AA171" i="3" a="1"/>
  <c r="Z171" i="3" a="1"/>
  <c r="AC170" i="3" a="1"/>
  <c r="AA170" i="3" a="1"/>
  <c r="Z170" i="3" a="1"/>
  <c r="AC169" i="3" a="1"/>
  <c r="AB169" i="3" a="1"/>
  <c r="AA169" i="3" a="1"/>
  <c r="AC168" i="3" a="1"/>
  <c r="AB168" i="3" a="1"/>
  <c r="AA168" i="3" a="1"/>
  <c r="AC167" i="3" a="1"/>
  <c r="AB167" i="3" a="1"/>
  <c r="Z167" i="3" a="1"/>
  <c r="AC166" i="3" a="1"/>
  <c r="AA166" i="3" a="1"/>
  <c r="Z166" i="3" a="1"/>
  <c r="AC165" i="3" a="1"/>
  <c r="AA165" i="3" a="1"/>
  <c r="Z165" i="3" a="1"/>
  <c r="AC164" i="3" a="1"/>
  <c r="AB164" i="3" a="1"/>
  <c r="Z164" i="3" a="1"/>
  <c r="AC163" i="3" a="1"/>
  <c r="AB163" i="3" a="1"/>
  <c r="AA163" i="3" a="1"/>
  <c r="Z163" i="3" a="1"/>
  <c r="AC162" i="3" a="1"/>
  <c r="AB162" i="3" a="1"/>
  <c r="AA162" i="3" a="1"/>
  <c r="AC161" i="3" a="1"/>
  <c r="AB161" i="3" a="1"/>
  <c r="AA161" i="3" a="1"/>
  <c r="AC160" i="3" a="1"/>
  <c r="AB160" i="3" a="1"/>
  <c r="AA160" i="3" a="1"/>
  <c r="AC159" i="3" a="1"/>
  <c r="AA159" i="3" a="1"/>
  <c r="Z159" i="3" a="1"/>
  <c r="AC158" i="3" a="1"/>
  <c r="AA158" i="3" a="1"/>
  <c r="Z158" i="3" a="1"/>
  <c r="AC157" i="3" a="1"/>
  <c r="AB157" i="3" a="1"/>
  <c r="AA157" i="3" a="1"/>
  <c r="AC156" i="3" a="1"/>
  <c r="AB156" i="3" a="1"/>
  <c r="AA156" i="3" a="1"/>
  <c r="AC155" i="3" a="1"/>
  <c r="AB155" i="3" a="1"/>
  <c r="Z155" i="3" a="1"/>
  <c r="AB154" i="3" a="1"/>
  <c r="AA154" i="3" a="1"/>
  <c r="Z154" i="3" a="1"/>
  <c r="AC153" i="3" a="1"/>
  <c r="AB153" i="3" a="1"/>
  <c r="Z153" i="3" a="1"/>
  <c r="AC152" i="3" a="1"/>
  <c r="AB152" i="3" a="1"/>
  <c r="AA152" i="3" a="1"/>
  <c r="AC151" i="3" a="1"/>
  <c r="AA151" i="3" a="1"/>
  <c r="Z151" i="3" a="1"/>
  <c r="AC150" i="3" a="1"/>
  <c r="AB150" i="3" a="1"/>
  <c r="Z150" i="3" a="1"/>
  <c r="AC149" i="3" a="1"/>
  <c r="AB149" i="3" a="1"/>
  <c r="AA149" i="3" a="1"/>
  <c r="AC148" i="3" a="1"/>
  <c r="AB148" i="3" a="1"/>
  <c r="AA148" i="3" a="1"/>
  <c r="Z148" i="3" a="1"/>
  <c r="AC147" i="3" a="1"/>
  <c r="AB147" i="3" a="1"/>
  <c r="AA147" i="3" a="1"/>
  <c r="AC146" i="3" a="1"/>
  <c r="AB146" i="3" a="1"/>
  <c r="AA146" i="3" a="1"/>
  <c r="AC145" i="3" a="1"/>
  <c r="AB145" i="3" a="1"/>
  <c r="Z145" i="3" a="1"/>
  <c r="AC144" i="3" a="1"/>
  <c r="AB144" i="3" a="1"/>
  <c r="AA144" i="3" a="1"/>
  <c r="AC143" i="3" a="1"/>
  <c r="AB143" i="3" a="1"/>
  <c r="AA143" i="3" a="1"/>
  <c r="AC142" i="3" a="1"/>
  <c r="AB142" i="3" a="1"/>
  <c r="AA142" i="3" a="1"/>
  <c r="AC141" i="3" a="1"/>
  <c r="AB141" i="3" a="1"/>
  <c r="AA141" i="3" a="1"/>
  <c r="AC140" i="3" a="1"/>
  <c r="AB140" i="3" a="1"/>
  <c r="AA140" i="3" a="1"/>
  <c r="AC139" i="3" a="1"/>
  <c r="AB139" i="3" a="1"/>
  <c r="Z139" i="3" a="1"/>
  <c r="AC138" i="3" a="1"/>
  <c r="AA138" i="3" a="1"/>
  <c r="Z138" i="3" a="1"/>
  <c r="AC137" i="3" a="1"/>
  <c r="AB137" i="3" a="1"/>
  <c r="AA137" i="3" a="1"/>
  <c r="AC136" i="3" a="1"/>
  <c r="AB136" i="3" a="1"/>
  <c r="AA136" i="3" a="1"/>
  <c r="AC135" i="3" a="1"/>
  <c r="AA135" i="3" a="1"/>
  <c r="Z135" i="3" a="1"/>
  <c r="AC134" i="3" a="1"/>
  <c r="AB134" i="3" a="1"/>
  <c r="AA134" i="3" a="1"/>
  <c r="Z134" i="3" a="1"/>
  <c r="AC133" i="3" a="1"/>
  <c r="AB133" i="3" a="1"/>
  <c r="AA133" i="3" a="1"/>
  <c r="Z133" i="3" a="1"/>
  <c r="AC132" i="3" a="1"/>
  <c r="AB132" i="3" a="1"/>
  <c r="AA132" i="3" a="1"/>
  <c r="AC131" i="3" a="1"/>
  <c r="AB131" i="3" a="1"/>
  <c r="Z131" i="3" a="1"/>
  <c r="AC130" i="3" a="1"/>
  <c r="AB130" i="3" a="1"/>
  <c r="Z130" i="3" a="1"/>
  <c r="AC129" i="3" a="1"/>
  <c r="AA129" i="3" a="1"/>
  <c r="Z129" i="3" a="1"/>
  <c r="AC128" i="3" a="1"/>
  <c r="AB128" i="3" a="1"/>
  <c r="Z128" i="3" a="1"/>
  <c r="AC127" i="3" a="1"/>
  <c r="AB127" i="3" a="1"/>
  <c r="Z127" i="3" a="1"/>
  <c r="AC126" i="3" a="1"/>
  <c r="AB126" i="3" a="1"/>
  <c r="Z126" i="3" a="1"/>
  <c r="AC125" i="3" a="1"/>
  <c r="AB125" i="3" a="1"/>
  <c r="Z125" i="3" a="1"/>
  <c r="AC124" i="3" a="1"/>
  <c r="AA124" i="3" a="1"/>
  <c r="Z124" i="3" a="1"/>
  <c r="AC123" i="3" a="1"/>
  <c r="AB123" i="3" a="1"/>
  <c r="Z123" i="3" a="1"/>
  <c r="AC122" i="3" a="1"/>
  <c r="AA122" i="3" a="1"/>
  <c r="Z122" i="3" a="1"/>
  <c r="AC121" i="3" a="1"/>
  <c r="AB121" i="3" a="1"/>
  <c r="Z121" i="3" a="1"/>
  <c r="AC120" i="3" a="1"/>
  <c r="AB120" i="3" a="1"/>
  <c r="Z120" i="3" a="1"/>
  <c r="AC119" i="3" a="1"/>
  <c r="AB119" i="3" a="1"/>
  <c r="AA119" i="3" a="1"/>
  <c r="AC118" i="3" a="1"/>
  <c r="AB118" i="3" a="1"/>
  <c r="Z118" i="3" a="1"/>
  <c r="AC117" i="3" a="1"/>
  <c r="AB117" i="3" a="1"/>
  <c r="AA117" i="3" a="1"/>
  <c r="Z117" i="3" a="1"/>
  <c r="AC116" i="3" a="1"/>
  <c r="AB116" i="3" a="1"/>
  <c r="AA116" i="3" a="1"/>
  <c r="AC115" i="3" a="1"/>
  <c r="AB115" i="3" a="1"/>
  <c r="AA115" i="3" a="1"/>
  <c r="AC114" i="3" a="1"/>
  <c r="AB114" i="3" a="1"/>
  <c r="Z114" i="3" a="1"/>
  <c r="AC113" i="3" a="1"/>
  <c r="AB113" i="3" a="1"/>
  <c r="AA113" i="3" a="1"/>
  <c r="AC112" i="3" a="1"/>
  <c r="AA112" i="3" a="1"/>
  <c r="Z112" i="3" a="1"/>
  <c r="AB111" i="3" a="1"/>
  <c r="AA111" i="3" a="1"/>
  <c r="Z111" i="3" a="1"/>
  <c r="AC110" i="3" a="1"/>
  <c r="AA110" i="3" a="1"/>
  <c r="Z110" i="3" a="1"/>
  <c r="AC109" i="3" a="1"/>
  <c r="AB109" i="3" a="1"/>
  <c r="Z109" i="3" a="1"/>
  <c r="AC108" i="3" a="1"/>
  <c r="AB108" i="3" a="1"/>
  <c r="AA108" i="3" a="1"/>
  <c r="AC107" i="3" a="1"/>
  <c r="AB107" i="3" a="1"/>
  <c r="AA107" i="3" a="1"/>
  <c r="Z107" i="3" a="1"/>
  <c r="AC106" i="3" a="1"/>
  <c r="AA106" i="3" a="1"/>
  <c r="Z106" i="3" a="1"/>
  <c r="AC105" i="3" a="1"/>
  <c r="AA105" i="3" a="1"/>
  <c r="Z105" i="3" a="1"/>
  <c r="AC104" i="3" a="1"/>
  <c r="AB104" i="3" a="1"/>
  <c r="AA104" i="3" a="1"/>
  <c r="Z104" i="3" a="1"/>
  <c r="AC103" i="3" a="1"/>
  <c r="AB103" i="3" a="1"/>
  <c r="AA103" i="3" a="1"/>
  <c r="AC102" i="3" a="1"/>
  <c r="AA102" i="3" a="1"/>
  <c r="Z102" i="3" a="1"/>
  <c r="AC101" i="3" a="1"/>
  <c r="AB101" i="3" a="1"/>
  <c r="Z101" i="3" a="1"/>
  <c r="AC100" i="3" a="1"/>
  <c r="AB100" i="3" a="1"/>
  <c r="AA100" i="3" a="1"/>
  <c r="Z100" i="3" a="1"/>
  <c r="AC99" i="3" a="1"/>
  <c r="AB99" i="3" a="1"/>
  <c r="AA99" i="3" a="1"/>
  <c r="Z99" i="3" a="1"/>
  <c r="AC98" i="3" a="1"/>
  <c r="AB98" i="3" a="1"/>
  <c r="Z98" i="3" a="1"/>
  <c r="AC97" i="3" a="1"/>
  <c r="AB97" i="3" a="1"/>
  <c r="Z97" i="3" a="1"/>
  <c r="AC96" i="3" a="1"/>
  <c r="AB96" i="3" a="1"/>
  <c r="Z96" i="3" a="1"/>
  <c r="AC95" i="3" a="1"/>
  <c r="AA95" i="3" a="1"/>
  <c r="Z95" i="3" a="1"/>
  <c r="AC94" i="3" a="1"/>
  <c r="AB94" i="3" a="1"/>
  <c r="Z94" i="3" a="1"/>
  <c r="AC93" i="3" a="1"/>
  <c r="AB93" i="3" a="1"/>
  <c r="Z93" i="3" a="1"/>
  <c r="AC92" i="3" a="1"/>
  <c r="AA92" i="3" a="1"/>
  <c r="Z92" i="3" a="1"/>
  <c r="AC91" i="3" a="1"/>
  <c r="AA91" i="3" a="1"/>
  <c r="Z91" i="3" a="1"/>
  <c r="AC90" i="3" a="1"/>
  <c r="AA90" i="3" a="1"/>
  <c r="Z90" i="3" a="1"/>
  <c r="AC89" i="3" a="1"/>
  <c r="AA89" i="3" a="1"/>
  <c r="Z89" i="3" a="1"/>
  <c r="AC88" i="3" a="1"/>
  <c r="AA88" i="3" a="1"/>
  <c r="Z88" i="3" a="1"/>
  <c r="AC87" i="3" a="1"/>
  <c r="AB87" i="3" a="1"/>
  <c r="Z87" i="3" a="1"/>
  <c r="AC86" i="3" a="1"/>
  <c r="AB86" i="3" a="1"/>
  <c r="Z86" i="3" a="1"/>
  <c r="AC85" i="3" a="1"/>
  <c r="AB85" i="3" a="1"/>
  <c r="Z85" i="3" a="1"/>
  <c r="AC84" i="3" a="1"/>
  <c r="AB84" i="3" a="1"/>
  <c r="Z84" i="3" a="1"/>
  <c r="AC83" i="3" a="1"/>
  <c r="AA83" i="3" a="1"/>
  <c r="Z83" i="3" a="1"/>
  <c r="AC82" i="3" a="1"/>
  <c r="AA82" i="3" a="1"/>
  <c r="Z82" i="3" a="1"/>
  <c r="AC81" i="3" a="1"/>
  <c r="AA81" i="3" a="1"/>
  <c r="Z81" i="3" a="1"/>
  <c r="AC80" i="3" a="1"/>
  <c r="AA80" i="3" a="1"/>
  <c r="Z80" i="3" a="1"/>
  <c r="AC79" i="3" a="1"/>
  <c r="AA79" i="3" a="1"/>
  <c r="Z79" i="3" a="1"/>
  <c r="AC78" i="3" a="1"/>
  <c r="AA78" i="3" a="1"/>
  <c r="Z78" i="3" a="1"/>
  <c r="AC77" i="3" a="1"/>
  <c r="AA77" i="3" a="1"/>
  <c r="Z77" i="3" a="1"/>
  <c r="AC76" i="3" a="1"/>
  <c r="AB76" i="3" a="1"/>
  <c r="Z76" i="3" a="1"/>
  <c r="AC75" i="3" a="1"/>
  <c r="AB75" i="3" a="1"/>
  <c r="Z75" i="3" a="1"/>
  <c r="AC74" i="3" a="1"/>
  <c r="AA74" i="3" a="1"/>
  <c r="Z74" i="3" a="1"/>
  <c r="AC73" i="3" a="1"/>
  <c r="AA73" i="3" a="1"/>
  <c r="Z73" i="3" a="1"/>
  <c r="AC72" i="3" a="1"/>
  <c r="AA72" i="3" a="1"/>
  <c r="Z72" i="3" a="1"/>
  <c r="AC71" i="3" a="1"/>
  <c r="AA71" i="3" a="1"/>
  <c r="Z71" i="3" a="1"/>
  <c r="AC70" i="3" a="1"/>
  <c r="AA70" i="3" a="1"/>
  <c r="Z70" i="3" a="1"/>
  <c r="AC69" i="3" a="1"/>
  <c r="AB69" i="3" a="1"/>
  <c r="Z69" i="3" a="1"/>
  <c r="AC68" i="3" a="1"/>
  <c r="AB68" i="3" a="1"/>
  <c r="Z68" i="3" a="1"/>
  <c r="AC67" i="3" a="1"/>
  <c r="AB67" i="3" a="1"/>
  <c r="Z67" i="3" a="1"/>
  <c r="AC66" i="3" a="1"/>
  <c r="AB66" i="3" a="1"/>
  <c r="Z66" i="3" a="1"/>
  <c r="AC65" i="3" a="1"/>
  <c r="AA65" i="3" a="1"/>
  <c r="Z65" i="3" a="1"/>
  <c r="AC64" i="3" a="1"/>
  <c r="AA64" i="3" a="1"/>
  <c r="Z64" i="3" a="1"/>
  <c r="AC63" i="3" a="1"/>
  <c r="AA63" i="3" a="1"/>
  <c r="Z63" i="3" a="1"/>
  <c r="AC62" i="3" a="1"/>
  <c r="AA62" i="3" a="1"/>
  <c r="Z62" i="3" a="1"/>
  <c r="AC61" i="3" a="1"/>
  <c r="AA61" i="3" a="1"/>
  <c r="Z61" i="3" a="1"/>
  <c r="AC60" i="3" a="1"/>
  <c r="AA60" i="3" a="1"/>
  <c r="Z60" i="3" a="1"/>
  <c r="AC59" i="3" a="1"/>
  <c r="AB59" i="3" a="1"/>
  <c r="Z59" i="3" a="1"/>
  <c r="AC58" i="3" a="1"/>
  <c r="AA58" i="3" a="1"/>
  <c r="Z58" i="3" a="1"/>
  <c r="AB57" i="3" a="1"/>
  <c r="AA57" i="3" a="1"/>
  <c r="Z57" i="3" a="1"/>
  <c r="AC56" i="3" a="1"/>
  <c r="AA56" i="3" a="1"/>
  <c r="Z56" i="3" a="1"/>
  <c r="AC55" i="3" a="1"/>
  <c r="AB55" i="3" a="1"/>
  <c r="Z55" i="3" a="1"/>
  <c r="AC54" i="3" a="1"/>
  <c r="AA54" i="3" a="1"/>
  <c r="Z54" i="3" a="1"/>
  <c r="AB53" i="3" a="1"/>
  <c r="AA53" i="3" a="1"/>
  <c r="Z53" i="3" a="1"/>
  <c r="AC52" i="3" a="1"/>
  <c r="AB52" i="3" a="1"/>
  <c r="Z52" i="3" a="1"/>
  <c r="AC51" i="3" a="1"/>
  <c r="AB51" i="3" a="1"/>
  <c r="Z51" i="3" a="1"/>
  <c r="AC50" i="3" a="1"/>
  <c r="AB50" i="3" a="1"/>
  <c r="Z50" i="3" a="1"/>
  <c r="AB49" i="3" a="1"/>
  <c r="AA49" i="3" a="1"/>
  <c r="Z49" i="3" a="1"/>
  <c r="AC48" i="3" a="1"/>
  <c r="AB48" i="3" a="1"/>
  <c r="Z48" i="3" a="1"/>
  <c r="AC47" i="3" a="1"/>
  <c r="AB47" i="3" a="1"/>
  <c r="Z47" i="3" a="1"/>
  <c r="AC46" i="3" a="1"/>
  <c r="AA46" i="3" a="1"/>
  <c r="Z46" i="3" a="1"/>
  <c r="AC45" i="3" a="1"/>
  <c r="AB45" i="3" a="1"/>
  <c r="Z45" i="3" a="1"/>
  <c r="AC44" i="3" a="1"/>
  <c r="AB44" i="3" a="1"/>
  <c r="Z44" i="3" a="1"/>
  <c r="AC43" i="3" a="1"/>
  <c r="AA43" i="3" a="1"/>
  <c r="Z43" i="3" a="1"/>
  <c r="AC42" i="3" a="1"/>
  <c r="AA42" i="3" a="1"/>
  <c r="Z42" i="3" a="1"/>
  <c r="AC41" i="3" a="1"/>
  <c r="AB41" i="3" a="1"/>
  <c r="Z41" i="3" a="1"/>
  <c r="AC40" i="3" a="1"/>
  <c r="AA40" i="3" a="1"/>
  <c r="Z40" i="3" a="1"/>
  <c r="AC39" i="3" a="1"/>
  <c r="AA39" i="3" a="1"/>
  <c r="Z39" i="3" a="1"/>
  <c r="AC38" i="3" a="1"/>
  <c r="AA38" i="3" a="1"/>
  <c r="Z38" i="3" a="1"/>
  <c r="AC37" i="3" a="1"/>
  <c r="AB37" i="3" a="1"/>
  <c r="Z37" i="3" a="1"/>
  <c r="AB36" i="3" a="1"/>
  <c r="AA36" i="3" a="1"/>
  <c r="Z36" i="3" a="1"/>
  <c r="AC35" i="3" a="1"/>
  <c r="AA35" i="3" a="1"/>
  <c r="Z35" i="3" a="1"/>
  <c r="AC34" i="3" a="1"/>
  <c r="AA34" i="3" a="1"/>
  <c r="Z34" i="3" a="1"/>
  <c r="AC33" i="3" a="1"/>
  <c r="AA33" i="3" a="1"/>
  <c r="Z33" i="3" a="1"/>
  <c r="AC32" i="3" a="1"/>
  <c r="AA32" i="3" a="1"/>
  <c r="Z32" i="3" a="1"/>
  <c r="AC31" i="3" a="1"/>
  <c r="AB31" i="3" a="1"/>
  <c r="Z31" i="3" a="1"/>
  <c r="AC30" i="3" a="1"/>
  <c r="AB30" i="3" a="1"/>
  <c r="AA30" i="3" a="1"/>
  <c r="AC29" i="3" a="1"/>
  <c r="AA29" i="3" a="1"/>
  <c r="Z29" i="3" a="1"/>
  <c r="AC27" i="3" a="1"/>
  <c r="AB27" i="3" a="1"/>
  <c r="Z27" i="3" a="1"/>
  <c r="AC26" i="3" a="1"/>
  <c r="AB26" i="3" a="1"/>
  <c r="Z26" i="3" a="1"/>
  <c r="AC25" i="3" a="1"/>
  <c r="AB25" i="3" a="1"/>
  <c r="Z25" i="3" a="1"/>
  <c r="AC24" i="3" a="1"/>
  <c r="AB24" i="3" a="1"/>
  <c r="Z24" i="3" a="1"/>
  <c r="AC23" i="3" a="1"/>
  <c r="AB23" i="3" a="1"/>
  <c r="Z23" i="3" a="1"/>
  <c r="AC22" i="3" a="1"/>
  <c r="AA22" i="3" a="1"/>
  <c r="Z22" i="3" a="1"/>
  <c r="AC21" i="3" a="1"/>
  <c r="AA21" i="3" a="1"/>
  <c r="Z21" i="3" a="1"/>
  <c r="AC20" i="3" a="1"/>
  <c r="AB20" i="3" a="1"/>
  <c r="Z20" i="3" a="1"/>
  <c r="AC19" i="3" a="1"/>
  <c r="AB19" i="3" a="1"/>
  <c r="Z19" i="3" a="1"/>
  <c r="AC18" i="3" a="1"/>
  <c r="AA18" i="3" a="1"/>
  <c r="Z18" i="3" a="1"/>
  <c r="AC17" i="3" a="1"/>
  <c r="AA17" i="3" a="1"/>
  <c r="Z17" i="3" a="1"/>
  <c r="AC16" i="3" a="1"/>
  <c r="AB16" i="3" a="1"/>
  <c r="Z16" i="3" a="1"/>
  <c r="AC15" i="3" a="1"/>
  <c r="AA15" i="3" a="1"/>
  <c r="Z15" i="3" a="1"/>
  <c r="AC14" i="3" a="1"/>
  <c r="AB14" i="3" a="1"/>
  <c r="Z14" i="3" a="1"/>
  <c r="AC13" i="3" a="1"/>
  <c r="AB13" i="3" a="1"/>
  <c r="AA13" i="3" a="1"/>
  <c r="AC12" i="3" a="1"/>
  <c r="AB12" i="3" a="1"/>
  <c r="AA12" i="3" a="1"/>
  <c r="Z12" i="3" a="1"/>
  <c r="AC11" i="3" a="1"/>
  <c r="AB11" i="3" a="1"/>
  <c r="AA11" i="3" a="1"/>
  <c r="Z11" i="3" a="1"/>
  <c r="AC10" i="3" a="1"/>
  <c r="AB10" i="3" a="1"/>
  <c r="AA10" i="3" a="1"/>
  <c r="Z10" i="3" a="1"/>
  <c r="AC9" i="3" a="1"/>
  <c r="AB9" i="3" a="1"/>
  <c r="Z9" i="3" a="1"/>
  <c r="AC8" i="3" a="1"/>
  <c r="AB8" i="3" a="1"/>
  <c r="Z8" i="3" a="1"/>
  <c r="AC7" i="3" a="1"/>
  <c r="AB7" i="3" a="1"/>
  <c r="Z7" i="3" a="1"/>
  <c r="AC6" i="3" a="1"/>
  <c r="AB6" i="3" a="1"/>
  <c r="Z6" i="3" a="1"/>
  <c r="AC5" i="3" a="1"/>
  <c r="AA5" i="3" a="1"/>
  <c r="Z5" i="3" a="1"/>
  <c r="AC4" i="3" a="1"/>
  <c r="AA4" i="3" a="1"/>
  <c r="Z4" i="3" a="1"/>
  <c r="AC28" i="3" a="1"/>
  <c r="AA28" i="3" a="1"/>
  <c r="Z28" i="3" a="1"/>
  <c r="W120" i="3"/>
  <c r="AA120" i="3" s="1" a="1"/>
  <c r="G1" i="3"/>
  <c r="L1" i="3"/>
  <c r="M1" i="3"/>
  <c r="N1" i="3"/>
  <c r="Q1" i="3"/>
  <c r="T1" i="3"/>
  <c r="AD1" i="3"/>
  <c r="AE1" i="3"/>
  <c r="AG1" i="3"/>
  <c r="AH1" i="3"/>
  <c r="AF4" i="3"/>
  <c r="X4" i="3" s="1"/>
  <c r="AB4" i="3" s="1" a="1"/>
  <c r="AF5" i="3"/>
  <c r="X5" i="3" s="1"/>
  <c r="AB5" i="3" s="1" a="1"/>
  <c r="AF6" i="3"/>
  <c r="W6" i="3" s="1"/>
  <c r="AA6" i="3" s="1" a="1"/>
  <c r="AF7" i="3"/>
  <c r="W7" i="3" s="1"/>
  <c r="AA7" i="3" s="1" a="1"/>
  <c r="AF8" i="3"/>
  <c r="W8" i="3" s="1"/>
  <c r="AA8" i="3" s="1" a="1"/>
  <c r="AF9" i="3"/>
  <c r="W9" i="3" s="1"/>
  <c r="AA9" i="3" s="1" a="1"/>
  <c r="AF10" i="3"/>
  <c r="AF11" i="3"/>
  <c r="AF12" i="3"/>
  <c r="AF13" i="3"/>
  <c r="U13" i="3" s="1"/>
  <c r="Z13" i="3" s="1" a="1"/>
  <c r="AF14" i="3"/>
  <c r="W14" i="3" s="1"/>
  <c r="AA14" i="3" s="1" a="1"/>
  <c r="AF15" i="3"/>
  <c r="X15" i="3" s="1"/>
  <c r="AB15" i="3" s="1" a="1"/>
  <c r="AF16" i="3"/>
  <c r="W16" i="3" s="1"/>
  <c r="AA16" i="3" s="1" a="1"/>
  <c r="AF17" i="3"/>
  <c r="X17" i="3" s="1"/>
  <c r="AB17" i="3" s="1" a="1"/>
  <c r="AF18" i="3"/>
  <c r="X18" i="3" s="1"/>
  <c r="AB18" i="3" s="1" a="1"/>
  <c r="AF19" i="3"/>
  <c r="W19" i="3" s="1"/>
  <c r="AA19" i="3" s="1" a="1"/>
  <c r="AF20" i="3"/>
  <c r="W20" i="3" s="1"/>
  <c r="AA20" i="3" s="1" a="1"/>
  <c r="AF21" i="3"/>
  <c r="X21" i="3" s="1"/>
  <c r="AB21" i="3" s="1" a="1"/>
  <c r="AF22" i="3"/>
  <c r="X22" i="3" s="1"/>
  <c r="AB22" i="3" s="1" a="1"/>
  <c r="AF23" i="3"/>
  <c r="W23" i="3" s="1"/>
  <c r="AA23" i="3" s="1" a="1"/>
  <c r="AF24" i="3"/>
  <c r="W24" i="3" s="1"/>
  <c r="AA24" i="3" s="1" a="1"/>
  <c r="AF25" i="3"/>
  <c r="W25" i="3" s="1"/>
  <c r="AA25" i="3" s="1" a="1"/>
  <c r="AF26" i="3"/>
  <c r="W26" i="3" s="1"/>
  <c r="AA26" i="3" s="1" a="1"/>
  <c r="AF27" i="3"/>
  <c r="W27" i="3" s="1"/>
  <c r="AA27" i="3" s="1" a="1"/>
  <c r="AF28" i="3"/>
  <c r="X28" i="3" s="1"/>
  <c r="AB28" i="3" s="1" a="1"/>
  <c r="AF29" i="3"/>
  <c r="X29" i="3" s="1"/>
  <c r="AB29" i="3" s="1" a="1"/>
  <c r="AF30" i="3"/>
  <c r="U30" i="3" s="1"/>
  <c r="Z30" i="3" s="1" a="1"/>
  <c r="AF31" i="3"/>
  <c r="W31" i="3" s="1"/>
  <c r="AA31" i="3" s="1" a="1"/>
  <c r="AF32" i="3"/>
  <c r="X32" i="3" s="1"/>
  <c r="AB32" i="3" s="1" a="1"/>
  <c r="AF33" i="3"/>
  <c r="X33" i="3" s="1"/>
  <c r="AB33" i="3" s="1" a="1"/>
  <c r="AF34" i="3"/>
  <c r="X34" i="3" s="1"/>
  <c r="AB34" i="3" s="1" a="1"/>
  <c r="AF35" i="3"/>
  <c r="X35" i="3" s="1"/>
  <c r="AB35" i="3" s="1" a="1"/>
  <c r="AF36" i="3"/>
  <c r="Y36" i="3" s="1"/>
  <c r="AC36" i="3" s="1" a="1"/>
  <c r="AF37" i="3"/>
  <c r="W37" i="3" s="1"/>
  <c r="AA37" i="3" s="1" a="1"/>
  <c r="AF38" i="3"/>
  <c r="X38" i="3" s="1"/>
  <c r="AB38" i="3" s="1" a="1"/>
  <c r="AF39" i="3"/>
  <c r="X39" i="3" s="1"/>
  <c r="AB39" i="3" s="1" a="1"/>
  <c r="AF40" i="3"/>
  <c r="X40" i="3" s="1"/>
  <c r="AB40" i="3" s="1" a="1"/>
  <c r="AF41" i="3"/>
  <c r="W41" i="3" s="1"/>
  <c r="AA41" i="3" s="1" a="1"/>
  <c r="AF42" i="3"/>
  <c r="X42" i="3" s="1"/>
  <c r="AB42" i="3" s="1" a="1"/>
  <c r="AF43" i="3"/>
  <c r="X43" i="3" s="1"/>
  <c r="AB43" i="3" s="1" a="1"/>
  <c r="AF44" i="3"/>
  <c r="W44" i="3" s="1"/>
  <c r="AA44" i="3" s="1" a="1"/>
  <c r="AF45" i="3"/>
  <c r="W45" i="3" s="1"/>
  <c r="AA45" i="3" s="1" a="1"/>
  <c r="AF46" i="3"/>
  <c r="X46" i="3" s="1"/>
  <c r="AB46" i="3" s="1" a="1"/>
  <c r="O47" i="3"/>
  <c r="P47" i="3"/>
  <c r="AF47" i="3"/>
  <c r="W47" i="3" s="1"/>
  <c r="AA47" i="3" s="1" a="1"/>
  <c r="O48" i="3"/>
  <c r="P48" i="3"/>
  <c r="AF48" i="3"/>
  <c r="W48" i="3" s="1"/>
  <c r="AA48" i="3" s="1" a="1"/>
  <c r="O49" i="3"/>
  <c r="P49" i="3"/>
  <c r="AF49" i="3"/>
  <c r="Y49" i="3" s="1"/>
  <c r="AC49" i="3" s="1" a="1"/>
  <c r="O50" i="3"/>
  <c r="P50" i="3"/>
  <c r="AF50" i="3"/>
  <c r="W50" i="3" s="1"/>
  <c r="AA50" i="3" s="1" a="1"/>
  <c r="O51" i="3"/>
  <c r="P51" i="3"/>
  <c r="AF51" i="3"/>
  <c r="W51" i="3" s="1"/>
  <c r="AA51" i="3" s="1" a="1"/>
  <c r="O52" i="3"/>
  <c r="P52" i="3"/>
  <c r="AF52" i="3"/>
  <c r="W52" i="3" s="1"/>
  <c r="AA52" i="3" s="1" a="1"/>
  <c r="O53" i="3"/>
  <c r="P53" i="3"/>
  <c r="AF53" i="3"/>
  <c r="Y53" i="3" s="1"/>
  <c r="AC53" i="3" s="1" a="1"/>
  <c r="O54" i="3"/>
  <c r="P54" i="3"/>
  <c r="AF54" i="3"/>
  <c r="X54" i="3" s="1"/>
  <c r="AB54" i="3" s="1" a="1"/>
  <c r="O55" i="3"/>
  <c r="P55" i="3"/>
  <c r="AF55" i="3"/>
  <c r="W55" i="3" s="1"/>
  <c r="AA55" i="3" s="1" a="1"/>
  <c r="O56" i="3"/>
  <c r="P56" i="3"/>
  <c r="AF56" i="3"/>
  <c r="X56" i="3" s="1"/>
  <c r="AB56" i="3" s="1" a="1"/>
  <c r="O57" i="3"/>
  <c r="P57" i="3"/>
  <c r="AF57" i="3"/>
  <c r="Y57" i="3" s="1"/>
  <c r="AC57" i="3" s="1" a="1"/>
  <c r="O58" i="3"/>
  <c r="P58" i="3"/>
  <c r="AF58" i="3"/>
  <c r="X58" i="3" s="1"/>
  <c r="AB58" i="3" s="1" a="1"/>
  <c r="O59" i="3"/>
  <c r="P59" i="3"/>
  <c r="AF59" i="3"/>
  <c r="W59" i="3" s="1"/>
  <c r="AA59" i="3" s="1" a="1"/>
  <c r="O60" i="3"/>
  <c r="P60" i="3"/>
  <c r="AF60" i="3"/>
  <c r="X60" i="3" s="1"/>
  <c r="AB60" i="3" s="1" a="1"/>
  <c r="O61" i="3"/>
  <c r="P61" i="3"/>
  <c r="AF61" i="3"/>
  <c r="X61" i="3" s="1"/>
  <c r="AB61" i="3" s="1" a="1"/>
  <c r="O62" i="3"/>
  <c r="P62" i="3"/>
  <c r="AF62" i="3"/>
  <c r="X62" i="3" s="1"/>
  <c r="AB62" i="3" s="1" a="1"/>
  <c r="O63" i="3"/>
  <c r="P63" i="3"/>
  <c r="AF63" i="3"/>
  <c r="X63" i="3" s="1"/>
  <c r="AB63" i="3" s="1" a="1"/>
  <c r="O64" i="3"/>
  <c r="P64" i="3"/>
  <c r="AF64" i="3"/>
  <c r="X64" i="3" s="1"/>
  <c r="AB64" i="3" s="1" a="1"/>
  <c r="O65" i="3"/>
  <c r="P65" i="3"/>
  <c r="AF65" i="3"/>
  <c r="X65" i="3" s="1"/>
  <c r="AB65" i="3" s="1" a="1"/>
  <c r="O66" i="3"/>
  <c r="P66" i="3"/>
  <c r="AF66" i="3"/>
  <c r="W66" i="3" s="1"/>
  <c r="AA66" i="3" s="1" a="1"/>
  <c r="O67" i="3"/>
  <c r="P67" i="3"/>
  <c r="AF67" i="3"/>
  <c r="W67" i="3" s="1"/>
  <c r="AA67" i="3" s="1" a="1"/>
  <c r="O68" i="3"/>
  <c r="P68" i="3"/>
  <c r="AF68" i="3"/>
  <c r="W68" i="3" s="1"/>
  <c r="AA68" i="3" s="1" a="1"/>
  <c r="O69" i="3"/>
  <c r="P69" i="3"/>
  <c r="AF69" i="3"/>
  <c r="W69" i="3" s="1"/>
  <c r="AA69" i="3" s="1" a="1"/>
  <c r="O70" i="3"/>
  <c r="P70" i="3"/>
  <c r="AF70" i="3"/>
  <c r="X70" i="3" s="1"/>
  <c r="AB70" i="3" s="1" a="1"/>
  <c r="O71" i="3"/>
  <c r="P71" i="3"/>
  <c r="AF71" i="3"/>
  <c r="X71" i="3" s="1"/>
  <c r="AB71" i="3" s="1" a="1"/>
  <c r="O72" i="3"/>
  <c r="P72" i="3"/>
  <c r="AF72" i="3"/>
  <c r="X72" i="3" s="1"/>
  <c r="AB72" i="3" s="1" a="1"/>
  <c r="O73" i="3"/>
  <c r="P73" i="3"/>
  <c r="AF73" i="3"/>
  <c r="X73" i="3" s="1"/>
  <c r="AB73" i="3" s="1" a="1"/>
  <c r="O74" i="3"/>
  <c r="P74" i="3"/>
  <c r="AF74" i="3"/>
  <c r="X74" i="3" s="1"/>
  <c r="AB74" i="3" s="1" a="1"/>
  <c r="O75" i="3"/>
  <c r="P75" i="3"/>
  <c r="AF75" i="3"/>
  <c r="W75" i="3" s="1"/>
  <c r="AA75" i="3" s="1" a="1"/>
  <c r="O76" i="3"/>
  <c r="P76" i="3"/>
  <c r="AF76" i="3"/>
  <c r="W76" i="3" s="1"/>
  <c r="AA76" i="3" s="1" a="1"/>
  <c r="O77" i="3"/>
  <c r="P77" i="3"/>
  <c r="AF77" i="3"/>
  <c r="X77" i="3" s="1"/>
  <c r="AB77" i="3" s="1" a="1"/>
  <c r="O78" i="3"/>
  <c r="P78" i="3"/>
  <c r="AF78" i="3"/>
  <c r="X78" i="3" s="1"/>
  <c r="AB78" i="3" s="1" a="1"/>
  <c r="O79" i="3"/>
  <c r="P79" i="3"/>
  <c r="AF79" i="3"/>
  <c r="X79" i="3" s="1"/>
  <c r="AB79" i="3" s="1" a="1"/>
  <c r="O80" i="3"/>
  <c r="P80" i="3"/>
  <c r="AF80" i="3"/>
  <c r="X80" i="3" s="1"/>
  <c r="AB80" i="3" s="1" a="1"/>
  <c r="O81" i="3"/>
  <c r="P81" i="3"/>
  <c r="AF81" i="3"/>
  <c r="X81" i="3" s="1"/>
  <c r="AB81" i="3" s="1" a="1"/>
  <c r="O82" i="3"/>
  <c r="P82" i="3"/>
  <c r="AF82" i="3"/>
  <c r="X82" i="3" s="1"/>
  <c r="AB82" i="3" s="1" a="1"/>
  <c r="O83" i="3"/>
  <c r="P83" i="3"/>
  <c r="AF83" i="3"/>
  <c r="X83" i="3" s="1"/>
  <c r="AB83" i="3" s="1" a="1"/>
  <c r="O84" i="3"/>
  <c r="P84" i="3"/>
  <c r="AF84" i="3"/>
  <c r="W84" i="3" s="1"/>
  <c r="AA84" i="3" s="1" a="1"/>
  <c r="O85" i="3"/>
  <c r="P85" i="3"/>
  <c r="AF85" i="3"/>
  <c r="W85" i="3" s="1"/>
  <c r="AA85" i="3" s="1" a="1"/>
  <c r="O86" i="3"/>
  <c r="P86" i="3"/>
  <c r="AF86" i="3"/>
  <c r="W86" i="3" s="1"/>
  <c r="AA86" i="3" s="1" a="1"/>
  <c r="O87" i="3"/>
  <c r="P87" i="3"/>
  <c r="AF87" i="3"/>
  <c r="W87" i="3" s="1"/>
  <c r="AA87" i="3" s="1" a="1"/>
  <c r="O88" i="3"/>
  <c r="P88" i="3"/>
  <c r="AF88" i="3"/>
  <c r="X88" i="3" s="1"/>
  <c r="AB88" i="3" s="1" a="1"/>
  <c r="O89" i="3"/>
  <c r="P89" i="3"/>
  <c r="AF89" i="3"/>
  <c r="X89" i="3" s="1"/>
  <c r="AB89" i="3" s="1" a="1"/>
  <c r="O90" i="3"/>
  <c r="P90" i="3"/>
  <c r="AF90" i="3"/>
  <c r="X90" i="3" s="1"/>
  <c r="AB90" i="3" s="1" a="1"/>
  <c r="O91" i="3"/>
  <c r="P91" i="3"/>
  <c r="AF91" i="3"/>
  <c r="X91" i="3" s="1"/>
  <c r="AB91" i="3" s="1" a="1"/>
  <c r="O92" i="3"/>
  <c r="P92" i="3"/>
  <c r="AF92" i="3"/>
  <c r="X92" i="3" s="1"/>
  <c r="AB92" i="3" s="1" a="1"/>
  <c r="O93" i="3"/>
  <c r="P93" i="3"/>
  <c r="AF93" i="3"/>
  <c r="W93" i="3" s="1"/>
  <c r="AA93" i="3" s="1" a="1"/>
  <c r="O94" i="3"/>
  <c r="P94" i="3"/>
  <c r="AF94" i="3"/>
  <c r="W94" i="3" s="1"/>
  <c r="AA94" i="3" s="1" a="1"/>
  <c r="O95" i="3"/>
  <c r="P95" i="3"/>
  <c r="AF95" i="3"/>
  <c r="X95" i="3" s="1"/>
  <c r="AB95" i="3" s="1" a="1"/>
  <c r="O96" i="3"/>
  <c r="P96" i="3"/>
  <c r="AF96" i="3"/>
  <c r="W96" i="3" s="1"/>
  <c r="AA96" i="3" s="1" a="1"/>
  <c r="AF97" i="3"/>
  <c r="W97" i="3" s="1"/>
  <c r="AA97" i="3" s="1" a="1"/>
  <c r="AF98" i="3"/>
  <c r="W98" i="3" s="1"/>
  <c r="AA98" i="3" s="1" a="1"/>
  <c r="AF99" i="3"/>
  <c r="AF100" i="3"/>
  <c r="AF101" i="3"/>
  <c r="W101" i="3" s="1"/>
  <c r="AA101" i="3" s="1" a="1"/>
  <c r="AF102" i="3"/>
  <c r="X102" i="3" s="1"/>
  <c r="AB102" i="3" s="1" a="1"/>
  <c r="AF103" i="3"/>
  <c r="V103" i="3" s="1"/>
  <c r="Z103" i="3" s="1" a="1"/>
  <c r="AF104" i="3"/>
  <c r="AF105" i="3"/>
  <c r="X105" i="3" s="1"/>
  <c r="AB105" i="3" s="1" a="1"/>
  <c r="AF106" i="3"/>
  <c r="X106" i="3" s="1"/>
  <c r="AB106" i="3" s="1" a="1"/>
  <c r="AF107" i="3"/>
  <c r="AF108" i="3"/>
  <c r="V108" i="3" s="1"/>
  <c r="Z108" i="3" s="1" a="1"/>
  <c r="AF109" i="3"/>
  <c r="W109" i="3" s="1"/>
  <c r="AA109" i="3" s="1" a="1"/>
  <c r="AF110" i="3"/>
  <c r="X110" i="3" s="1"/>
  <c r="AB110" i="3" s="1" a="1"/>
  <c r="AF111" i="3"/>
  <c r="Y111" i="3" s="1"/>
  <c r="AC111" i="3" s="1" a="1"/>
  <c r="AF112" i="3"/>
  <c r="X112" i="3" s="1"/>
  <c r="AB112" i="3" s="1" a="1"/>
  <c r="AF113" i="3"/>
  <c r="V113" i="3" s="1"/>
  <c r="Z113" i="3" s="1" a="1"/>
  <c r="AF114" i="3"/>
  <c r="W114" i="3" s="1"/>
  <c r="AA114" i="3" s="1" a="1"/>
  <c r="AF115" i="3"/>
  <c r="V115" i="3" s="1"/>
  <c r="Z115" i="3" s="1" a="1"/>
  <c r="AF116" i="3"/>
  <c r="V116" i="3" s="1"/>
  <c r="Z116" i="3" s="1" a="1"/>
  <c r="AF117" i="3"/>
  <c r="AF118" i="3"/>
  <c r="W118" i="3" s="1"/>
  <c r="AA118" i="3" s="1" a="1"/>
  <c r="AF119" i="3"/>
  <c r="V119" i="3" s="1"/>
  <c r="Z119" i="3" s="1" a="1"/>
  <c r="AF121" i="3"/>
  <c r="W121" i="3" s="1"/>
  <c r="AA121" i="3" s="1" a="1"/>
  <c r="AF122" i="3"/>
  <c r="X122" i="3" s="1"/>
  <c r="AB122" i="3" s="1" a="1"/>
  <c r="AF123" i="3"/>
  <c r="W123" i="3" s="1"/>
  <c r="AA123" i="3" s="1" a="1"/>
  <c r="AF124" i="3"/>
  <c r="X124" i="3" s="1"/>
  <c r="AB124" i="3" s="1" a="1"/>
  <c r="AF125" i="3"/>
  <c r="W125" i="3" s="1"/>
  <c r="AA125" i="3" s="1" a="1"/>
  <c r="AF126" i="3"/>
  <c r="W126" i="3" s="1"/>
  <c r="AA126" i="3" s="1" a="1"/>
  <c r="AF127" i="3"/>
  <c r="W127" i="3" s="1"/>
  <c r="AA127" i="3" s="1" a="1"/>
  <c r="AF128" i="3"/>
  <c r="W128" i="3" s="1"/>
  <c r="AA128" i="3" s="1" a="1"/>
  <c r="AF129" i="3"/>
  <c r="X129" i="3" s="1"/>
  <c r="AB129" i="3" s="1" a="1"/>
  <c r="AF130" i="3"/>
  <c r="W130" i="3" s="1"/>
  <c r="AA130" i="3" s="1" a="1"/>
  <c r="AF131" i="3"/>
  <c r="W131" i="3" s="1"/>
  <c r="AA131" i="3" s="1" a="1"/>
  <c r="AF132" i="3"/>
  <c r="V132" i="3" s="1"/>
  <c r="Z132" i="3" s="1" a="1"/>
  <c r="AF133" i="3"/>
  <c r="AF134" i="3"/>
  <c r="AF135" i="3"/>
  <c r="X135" i="3" s="1"/>
  <c r="AB135" i="3" s="1" a="1"/>
  <c r="AF136" i="3"/>
  <c r="U136" i="3" s="1"/>
  <c r="Z136" i="3" s="1" a="1"/>
  <c r="AF137" i="3"/>
  <c r="U137" i="3" s="1"/>
  <c r="Z137" i="3" s="1" a="1"/>
  <c r="AF138" i="3"/>
  <c r="X138" i="3" s="1"/>
  <c r="AB138" i="3" s="1" a="1"/>
  <c r="AF139" i="3"/>
  <c r="W139" i="3" s="1"/>
  <c r="AA139" i="3" s="1" a="1"/>
  <c r="AF140" i="3"/>
  <c r="U140" i="3" s="1"/>
  <c r="Z140" i="3" s="1" a="1"/>
  <c r="AF141" i="3"/>
  <c r="V141" i="3" s="1"/>
  <c r="Z141" i="3" s="1" a="1"/>
  <c r="AF142" i="3"/>
  <c r="V142" i="3" s="1"/>
  <c r="Z142" i="3" s="1" a="1"/>
  <c r="AF143" i="3"/>
  <c r="V143" i="3" s="1"/>
  <c r="Z143" i="3" s="1" a="1"/>
  <c r="AF144" i="3"/>
  <c r="V144" i="3" s="1"/>
  <c r="Z144" i="3" s="1" a="1"/>
  <c r="AF145" i="3"/>
  <c r="W145" i="3" s="1"/>
  <c r="AA145" i="3" s="1" a="1"/>
  <c r="AF146" i="3"/>
  <c r="V146" i="3" s="1"/>
  <c r="Z146" i="3" s="1" a="1"/>
  <c r="AF147" i="3"/>
  <c r="V147" i="3" s="1"/>
  <c r="Z147" i="3" s="1" a="1"/>
  <c r="AF148" i="3"/>
  <c r="AF149" i="3"/>
  <c r="V149" i="3" s="1"/>
  <c r="Z149" i="3" s="1" a="1"/>
  <c r="AF150" i="3"/>
  <c r="W150" i="3" s="1"/>
  <c r="AA150" i="3" s="1" a="1"/>
  <c r="AF151" i="3"/>
  <c r="X151" i="3" s="1"/>
  <c r="AB151" i="3" s="1" a="1"/>
  <c r="AF152" i="3"/>
  <c r="V152" i="3" s="1"/>
  <c r="Z152" i="3" s="1" a="1"/>
  <c r="AF153" i="3"/>
  <c r="W153" i="3" s="1"/>
  <c r="AA153" i="3" s="1" a="1"/>
  <c r="AF154" i="3"/>
  <c r="Y154" i="3" s="1"/>
  <c r="AC154" i="3" s="1" a="1"/>
  <c r="AF155" i="3"/>
  <c r="W155" i="3" s="1"/>
  <c r="AA155" i="3" s="1" a="1"/>
  <c r="AF156" i="3"/>
  <c r="U156" i="3" s="1"/>
  <c r="Z156" i="3" s="1" a="1"/>
  <c r="AF157" i="3"/>
  <c r="V157" i="3" s="1"/>
  <c r="Z157" i="3" s="1" a="1"/>
  <c r="AF158" i="3"/>
  <c r="X158" i="3" s="1"/>
  <c r="AB158" i="3" s="1" a="1"/>
  <c r="AF159" i="3"/>
  <c r="X159" i="3" s="1"/>
  <c r="AB159" i="3" s="1" a="1"/>
  <c r="AF160" i="3"/>
  <c r="U160" i="3" s="1"/>
  <c r="Z160" i="3" s="1" a="1"/>
  <c r="AF161" i="3"/>
  <c r="V161" i="3" s="1"/>
  <c r="Z161" i="3" s="1" a="1"/>
  <c r="AF162" i="3"/>
  <c r="V162" i="3" s="1"/>
  <c r="Z162" i="3" s="1" a="1"/>
  <c r="AF163" i="3"/>
  <c r="AF164" i="3"/>
  <c r="W164" i="3" s="1"/>
  <c r="AA164" i="3" s="1" a="1"/>
  <c r="AF165" i="3"/>
  <c r="X165" i="3" s="1"/>
  <c r="AB165" i="3" s="1" a="1"/>
  <c r="AF166" i="3"/>
  <c r="X166" i="3" s="1"/>
  <c r="AB166" i="3" s="1" a="1"/>
  <c r="AF167" i="3"/>
  <c r="W167" i="3" s="1"/>
  <c r="AA167" i="3" s="1" a="1"/>
  <c r="AF168" i="3"/>
  <c r="V168" i="3" s="1"/>
  <c r="Z168" i="3" s="1" a="1"/>
  <c r="AF169" i="3"/>
  <c r="V169" i="3" s="1"/>
  <c r="Z169" i="3" s="1" a="1"/>
  <c r="AF170" i="3"/>
  <c r="X170" i="3" s="1"/>
  <c r="AB170" i="3" s="1" a="1"/>
  <c r="AF171" i="3"/>
  <c r="X171" i="3" s="1"/>
  <c r="AB171" i="3" s="1" a="1"/>
  <c r="AF172" i="3"/>
  <c r="AF173" i="3"/>
  <c r="AF174" i="3"/>
  <c r="X174" i="3" s="1"/>
  <c r="AB174" i="3" s="1" a="1"/>
  <c r="AF175" i="3"/>
  <c r="W175" i="3" s="1"/>
  <c r="AA175" i="3" s="1" a="1"/>
  <c r="W7" i="2"/>
  <c r="Y1" i="2"/>
  <c r="W83" i="2"/>
  <c r="W68" i="2"/>
  <c r="W67" i="2"/>
  <c r="W66" i="2"/>
  <c r="W65" i="2"/>
  <c r="W64" i="2"/>
  <c r="W63" i="2"/>
  <c r="W62" i="2"/>
  <c r="W61" i="2"/>
  <c r="W60" i="2"/>
  <c r="W59" i="2"/>
  <c r="W58" i="2"/>
  <c r="W56" i="2"/>
  <c r="W55" i="2"/>
  <c r="W54" i="2"/>
  <c r="W53" i="2"/>
  <c r="W52" i="2"/>
  <c r="W51" i="2"/>
  <c r="W50" i="2"/>
  <c r="W37" i="2"/>
  <c r="W36" i="2"/>
  <c r="W35" i="2"/>
  <c r="W34" i="2"/>
  <c r="W33" i="2"/>
  <c r="W32" i="2"/>
  <c r="W31" i="2"/>
  <c r="W30" i="2"/>
  <c r="W29" i="2"/>
  <c r="W28" i="2"/>
  <c r="W27" i="2"/>
  <c r="W26" i="2"/>
  <c r="W18" i="2"/>
  <c r="W17" i="2"/>
  <c r="W16" i="2"/>
  <c r="W15" i="2"/>
  <c r="W14" i="2"/>
  <c r="W13" i="2"/>
  <c r="W12" i="2"/>
  <c r="W11" i="2"/>
  <c r="W10" i="2"/>
  <c r="W9" i="2"/>
  <c r="W8" i="2"/>
  <c r="W6" i="2"/>
  <c r="W57" i="2"/>
  <c r="W101" i="2"/>
  <c r="M1" i="2"/>
  <c r="X1" i="2"/>
  <c r="L1" i="2"/>
  <c r="Q1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5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T1" i="2"/>
  <c r="U1" i="2"/>
  <c r="G1" i="2"/>
  <c r="F1" i="2" s="1"/>
  <c r="N1" i="2" l="1"/>
  <c r="Y1" i="3"/>
  <c r="U1" i="3"/>
  <c r="X1" i="3"/>
  <c r="V1" i="3"/>
  <c r="W1" i="3"/>
  <c r="P1" i="3"/>
  <c r="O1" i="3"/>
  <c r="AF1" i="3"/>
  <c r="O1" i="2"/>
  <c r="P1" i="2"/>
  <c r="W19" i="2"/>
  <c r="W20" i="2"/>
  <c r="W21" i="2"/>
  <c r="W22" i="2"/>
  <c r="W23" i="2"/>
  <c r="W24" i="2"/>
  <c r="W25" i="2"/>
  <c r="W38" i="2"/>
  <c r="W39" i="2"/>
  <c r="W40" i="2"/>
  <c r="W41" i="2"/>
  <c r="W42" i="2"/>
  <c r="W43" i="2"/>
  <c r="W44" i="2"/>
  <c r="W45" i="2"/>
  <c r="W46" i="2"/>
  <c r="W47" i="2"/>
  <c r="W48" i="2"/>
  <c r="W49" i="2"/>
  <c r="W84" i="2"/>
  <c r="W86" i="2"/>
  <c r="V1" i="2"/>
  <c r="W5" i="2"/>
  <c r="W4" i="2"/>
  <c r="W1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<sst xmlns="http://schemas.openxmlformats.org/spreadsheetml/2006/main" count="5112" uniqueCount="832">
  <si>
    <t>Design</t>
  </si>
  <si>
    <t>ลำดับ</t>
  </si>
  <si>
    <t>พื้นที่</t>
  </si>
  <si>
    <t>จังหวัด</t>
  </si>
  <si>
    <t>หักเสา</t>
  </si>
  <si>
    <t>รหัสเส้นทาง</t>
  </si>
  <si>
    <t>เส้นทาง</t>
  </si>
  <si>
    <t>ระยะท่อ
(กม.)</t>
  </si>
  <si>
    <t>UIH SC</t>
  </si>
  <si>
    <t>Year plan</t>
  </si>
  <si>
    <t>แผนท่อเสร็จ</t>
  </si>
  <si>
    <t>เริ่มตัด</t>
  </si>
  <si>
    <t>Status UIH</t>
  </si>
  <si>
    <t>Solution
(plan)</t>
  </si>
  <si>
    <t>Fiber Sharing</t>
  </si>
  <si>
    <t>CAPEX
(estimate)</t>
  </si>
  <si>
    <t>OPEX/year
(estimate)</t>
  </si>
  <si>
    <t>Budget of work</t>
  </si>
  <si>
    <t>พิกัดต้นทาง</t>
  </si>
  <si>
    <t>พิกัดปลายทาง</t>
  </si>
  <si>
    <t>OFC Type (A+B)</t>
  </si>
  <si>
    <t>(A)ระยะลงท่อ
(km)</t>
  </si>
  <si>
    <t>(B) ระยะบนเสาไฟฟ้า
(km)</t>
  </si>
  <si>
    <t>(A)+(B) ระยะรวม
(km)</t>
  </si>
  <si>
    <t>ปีที่ใช้งบประมาณ</t>
  </si>
  <si>
    <t>ไตรมาสที่ใช้งบประมาณ</t>
  </si>
  <si>
    <t>กรุงเทพมหานครและปริมณฑล</t>
  </si>
  <si>
    <t>กรุงเทพมหานคร</t>
  </si>
  <si>
    <t>หักเสาไฟฟ้า</t>
  </si>
  <si>
    <t>UG66/MSN/0005</t>
  </si>
  <si>
    <t>ถนนอังรีดูนังด์(พระรามที่ 1 -พระรามที่ 4)</t>
  </si>
  <si>
    <t>BKK4</t>
  </si>
  <si>
    <t>เสร็จแล้ว</t>
  </si>
  <si>
    <t>ตัดแล้ว</t>
  </si>
  <si>
    <t>Done</t>
  </si>
  <si>
    <t>ลงใต้ดิน</t>
  </si>
  <si>
    <t>yes</t>
  </si>
  <si>
    <t>Approved</t>
  </si>
  <si>
    <t>13.730941310301457, 100.53364854197581</t>
  </si>
  <si>
    <t>13.745285309076259, 100.53588236120147</t>
  </si>
  <si>
    <t>144C</t>
  </si>
  <si>
    <t>Q3</t>
  </si>
  <si>
    <t>UG66/MSN/0001</t>
  </si>
  <si>
    <t>ถนนจรัญสนิทวงศ์ ช่วงที่ 2 (แยกบางพลัด - ถนนบรมราชชนนี)</t>
  </si>
  <si>
    <t>BKK1</t>
  </si>
  <si>
    <t>13.784568460507492, 100.49439125627126</t>
  </si>
  <si>
    <t>13.773351404499168, 100.48190426894638</t>
  </si>
  <si>
    <t>Q4</t>
  </si>
  <si>
    <t>ไม่หักเสาไฟฟ้า</t>
  </si>
  <si>
    <t>UG66/OTH/0018</t>
  </si>
  <si>
    <t>ถนนเยาวราช โซนที่ 5 (2 ฝั่งถนน) (ถนนทรงสวัสดิ์ - ซุ้มประตูเฉลิมพระเกียรติ 6 รอบพระชนมพรรษา)</t>
  </si>
  <si>
    <t>13.739407567111556, 100.51147056044779</t>
  </si>
  <si>
    <t>13.737353625608659, 100.51294350981958</t>
  </si>
  <si>
    <t>60C</t>
  </si>
  <si>
    <t>UG68/MSN/0004</t>
  </si>
  <si>
    <t>ถนนประชาราษฎร์ สาย 2 (2 ฝั่งถนน) (แยกบางโพ - แม่น้ำเจ้าพระยา)</t>
  </si>
  <si>
    <t>BKK2</t>
  </si>
  <si>
    <t>13.80636889371856, 100.52158110006106</t>
  </si>
  <si>
    <t>13.806316740574633, 100.51924673175483</t>
  </si>
  <si>
    <t>Q2</t>
  </si>
  <si>
    <t>UG67/MSN/0001</t>
  </si>
  <si>
    <t>ถนนประชาราษฎร์ สาย 2 (2 ฝั่งถนน) (แยกประชาชื่น - แยกบางโพ)</t>
  </si>
  <si>
    <t>13.805650769000955, 100.5332038528518</t>
  </si>
  <si>
    <t>UG66/MSN/0003</t>
  </si>
  <si>
    <t>ถนนจรัญสนิทวงศ์ ช่วงที่ 2 (2 ฝั่งถนน) (ถนนบรมราชชนนี - ถนนสุทธาวาส)</t>
  </si>
  <si>
    <t>13.762829108215561, 100.47280943699901</t>
  </si>
  <si>
    <t>Q1</t>
  </si>
  <si>
    <t>UG65/OTH/0001</t>
  </si>
  <si>
    <t>ถนนมหาราช (2 ฝั่งถนน) (ถนนหน้าพระลาน - ถนนพระจันทร์)</t>
  </si>
  <si>
    <t>n/a</t>
  </si>
  <si>
    <t>ไม่มีโครงข่าย</t>
  </si>
  <si>
    <t>no</t>
  </si>
  <si>
    <t>13.752349559081285, 100.48952032574502</t>
  </si>
  <si>
    <t>13.756307989636536, 100.48963246494628</t>
  </si>
  <si>
    <t>UG66/OTH/0013</t>
  </si>
  <si>
    <t>ถนนดินสอ (2 ฝั่งถนน) (ถนนราชดำเนินกลาง - ถนนบำรุงเมือง)</t>
  </si>
  <si>
    <t>13.756336780416937, 100.50172473113246</t>
  </si>
  <si>
    <t>13.751996814090212, 100.50091911156224</t>
  </si>
  <si>
    <t>UG67/OTH/0007</t>
  </si>
  <si>
    <t>ถนนพระจันทร์ (2 ฝั่งถนน) (ถนนมหาราช - ถนนหน้าพระธาตุ)</t>
  </si>
  <si>
    <t>13.756315478100502, 100.48962466125836</t>
  </si>
  <si>
    <t>13.755464330915798, 100.49212710949539</t>
  </si>
  <si>
    <t>UG67/OTH/0008</t>
  </si>
  <si>
    <t>ถนนศิริพงษ์ (รอบศาลาว่าการ กทม.) (1 ฝั่งถนน) (ถนนดินสอ - ถนนบำรุงเมือง)</t>
  </si>
  <si>
    <t>Re-route</t>
  </si>
  <si>
    <t>13.754652717659106, 100.50137705611867</t>
  </si>
  <si>
    <t>13.751914974521213, 100.50199713785821</t>
  </si>
  <si>
    <t>12C</t>
  </si>
  <si>
    <t>UG66/OTH/0017</t>
  </si>
  <si>
    <t>ถนนเยาวราช โซนที่ 4 ฝั่งใต้ (1 ฝั่งถนน) (ถนนราชวงศ์ - ถนนทรงสวัสดิ์)</t>
  </si>
  <si>
    <t>Onprocess</t>
  </si>
  <si>
    <t>13.742290754376612, 100.50694991095189</t>
  </si>
  <si>
    <t>13.739396707790819, 100.5113779307246</t>
  </si>
  <si>
    <t>UG67/MSN/0005</t>
  </si>
  <si>
    <t>ถนนลาดพร้าว ช่วงที่ 2 (2 ฝั่งถนน) (ถนนรัชดาภิเษก - ถนนประดิษฐมนูธรรม)</t>
  </si>
  <si>
    <t>13.805411917542347, 100.57495144377492</t>
  </si>
  <si>
    <t>13.786437316477445, 100.60875437077863</t>
  </si>
  <si>
    <t>UG66/OTH/0015</t>
  </si>
  <si>
    <t>ถนนเยาวราช โซนที่ 2 ฝั่งเหนือ (1 ฝั่งถนน) (ถบนราชวงศ์ - ถนนทรงสวัสดิ์)</t>
  </si>
  <si>
    <t>13.742351981932222, 100.50699483795309</t>
  </si>
  <si>
    <t>13.739483313274192, 100.51143472095434</t>
  </si>
  <si>
    <t>UG67/OTH/0003</t>
  </si>
  <si>
    <t>ถนนวิทยุ ช่วงที่ 2 (2 ฝั่งถนน) (ถนนเพลินจิต - ถนนเพชรบุรี)</t>
  </si>
  <si>
    <t>13.743321627022501, 100.54756286403692</t>
  </si>
  <si>
    <t>13.749692752378785, 100.54859664430262</t>
  </si>
  <si>
    <t>UG65/NTC/0010</t>
  </si>
  <si>
    <t>ถนนพระราม 4 ช่วงที่ 2 (2 ฝั่งถนน) (สามย่านมิตรทาวน์ - แยกคลองเตย)</t>
  </si>
  <si>
    <t>13.733353800169416, 100.52750043205424</t>
  </si>
  <si>
    <t>13.720229321195605, 100.55906312982408</t>
  </si>
  <si>
    <t>UG66/MSN/0002</t>
  </si>
  <si>
    <t>ถนนจรัญสนิทวงศ์ ช่วงที่ 2 (2 ฝั่งอนน) (ถนนสุทธาวาส - ถนนพรานนก)</t>
  </si>
  <si>
    <t>13.754866084753044, 100.46941322132035</t>
  </si>
  <si>
    <t>UG66/OTH/0016</t>
  </si>
  <si>
    <t>ถนนเยาวราช โซนที่ 3 ฝั่งใต้ (1 ฝั่งถนน) (ถนนราชวงศ์ - ถนนจักรวรรดิ)</t>
  </si>
  <si>
    <t>13.74235530894268, 100.5069216699699</t>
  </si>
  <si>
    <t>13.744095165929302, 100.50446746701284</t>
  </si>
  <si>
    <t>UG68/OTH/0007</t>
  </si>
  <si>
    <t>ถนนพระราม 9 ช่วงที่ 1 (2 ฝั่งถนน) (แยกถนนรัชดาภิเษก - คลองชวดใหญ่)</t>
  </si>
  <si>
    <t>BKK3</t>
  </si>
  <si>
    <t>yes (Jastel)</t>
  </si>
  <si>
    <t>13.75605722785821, 100.5649928410609</t>
  </si>
  <si>
    <t>13.754864464443239, 100.58105671390848</t>
  </si>
  <si>
    <t>นนทบุรี</t>
  </si>
  <si>
    <t>UG65/OTH/0013</t>
  </si>
  <si>
    <t>ถนนศรีสมาน (2 ฝั่งถนน) (แยกสวนสมเด็จพระศรีนครินทร์ - ถนนเลียบคลองประปา)</t>
  </si>
  <si>
    <t>13.940560347819595, 100.54209283026739</t>
  </si>
  <si>
    <t>13.934430157181419, 100.56354359702038</t>
  </si>
  <si>
    <t>UG66/OTH/0014</t>
  </si>
  <si>
    <t>ถนนเยาวราช โซนที่ 1 ฝั่งเหนือ (1 ฝั่งถนน) (ถนนราชวงศ์ - ถนนจักรวรรดิ)</t>
  </si>
  <si>
    <t>13.742402566193277, 100.50696074758135</t>
  </si>
  <si>
    <t>13.744195474119442, 100.50455061549454</t>
  </si>
  <si>
    <t>UG65/OTH/0002</t>
  </si>
  <si>
    <t>ถนนลูกหลวง (1 ฝั่งถนน) (ซอยลูกหลวง 1 - ถนนสามเสน)</t>
  </si>
  <si>
    <t>Wait Duct (NT)</t>
  </si>
  <si>
    <t>ลงใต้ดิน+Re-route</t>
  </si>
  <si>
    <t>13.754718045186001, 100.51747023999916</t>
  </si>
  <si>
    <t>13.769942382856494, 100.50399285429273</t>
  </si>
  <si>
    <t>UG66/MSN/0004</t>
  </si>
  <si>
    <t>ถนนจรัญสนิทวงศ์ ช่วงที่ 3 (2 ฝั่งถนน) (แยกไฟฉาย - แยกท่าพระ)</t>
  </si>
  <si>
    <t>13.787687709428189, 100.46870537963544</t>
  </si>
  <si>
    <t>13.729397077147375, 100.47421589346044</t>
  </si>
  <si>
    <t>UG66/OTH/0011</t>
  </si>
  <si>
    <t>ถนนเยาวราช โซนที่ 1 (2 ฝั่งถนน) (ถนนจักรวรรดิ - คลองโอ่งอ่าง 1)</t>
  </si>
  <si>
    <t>13.744166090823622, 100.50444645343005</t>
  </si>
  <si>
    <t>13.744804819949007, 100.50313484102738</t>
  </si>
  <si>
    <t>UG68/OTH/0008</t>
  </si>
  <si>
    <t>ถนนประชาราษฎร์สาย 1 (2 ฝั่งถนน) (คลองบางซื่อ - ถนนประชาราษฎร์สาย 2)</t>
  </si>
  <si>
    <t>13.799932719041246, 100.52139090233405</t>
  </si>
  <si>
    <t>13.806357300875998, 100.52160430476457</t>
  </si>
  <si>
    <t>กรุงเทพมหานคร,สมุทรปราการ</t>
  </si>
  <si>
    <t>UG68/MSN/0005</t>
  </si>
  <si>
    <t>ถนนสุขุมวิท ช่วงที่ 2 (2 ฝั่งถนน) (แยกบางนา - ถนนกาญจนาภิเษก)</t>
  </si>
  <si>
    <t>13.673313628945984, 100.60678315958604</t>
  </si>
  <si>
    <t>13.630125411559987, 100.58887238374705</t>
  </si>
  <si>
    <t>UG65/OTH/0018</t>
  </si>
  <si>
    <t>ถนนวิภาวดีรังสิต ช่วงที่ 4 (2 ฝั่งถนน) (แยกเกษตร - หลักสี่)</t>
  </si>
  <si>
    <t>13.847561540502536, 100.56149019379637</t>
  </si>
  <si>
    <t>13.884322387369098, 100.58169030148558</t>
  </si>
  <si>
    <t>UG69/MSN/0001</t>
  </si>
  <si>
    <t>ถนนตก (2 ฝั่งถนน) (ถนนพระราม 3 - กฟน.ยานนาวา)</t>
  </si>
  <si>
    <t>13.697176484650662, 100.49704267467271</t>
  </si>
  <si>
    <t>13.69308524940448, 100.4924692323161</t>
  </si>
  <si>
    <t>UG68/MSN/0021</t>
  </si>
  <si>
    <t>เทียมร่วมมิตร (2 ฝั่งถนน) (แยกศูนย์วัฒนธรรม - ประชาอุทิศ)</t>
  </si>
  <si>
    <t>13.762591425569118, 100.57265766550815</t>
  </si>
  <si>
    <t>13.769063091571814, 100.59284282032604</t>
  </si>
  <si>
    <t>UG68/MSN/0020</t>
  </si>
  <si>
    <t>ถนนรามคำแหง 1 (2 ฝั่งถนน) (แยกคลองตัน - ทางรถไฟ)</t>
  </si>
  <si>
    <t>13.740986406319568, 100.60075742356503</t>
  </si>
  <si>
    <t>13.742830113711666, 100.60144260439787</t>
  </si>
  <si>
    <t>UG68/MSN/0025</t>
  </si>
  <si>
    <t>ถนนรามคำแหง 1 (2 ฝั่งถนน) (ทางรถไฟ - แยกลำสาสี)</t>
  </si>
  <si>
    <t>13.762676916859343, 100.64562951492596</t>
  </si>
  <si>
    <t>UG68/MSN/0009</t>
  </si>
  <si>
    <t>ถนนแจ้งวัฒนะ ช่วงที่ 2 (2 ฝั่งถนน) (ห้าแยกปากเกร็ด - ทางพิเศษศรีรัช)</t>
  </si>
  <si>
    <t>13.907518910842692, 100.50426855225544</t>
  </si>
  <si>
    <t>13.899426717362157, 100.54274973571448</t>
  </si>
  <si>
    <t>UG68/MSN/0022</t>
  </si>
  <si>
    <t>ถนนบรมราชชนนี (2 ฝั่งถนน) (แยกอรุณ - สมเด็จพระปิ่นเกล้า-สายใต้เก่า)</t>
  </si>
  <si>
    <t>13.768484342823152, 100.48575350796152</t>
  </si>
  <si>
    <t>13.78747686967618, 100.46862468398734</t>
  </si>
  <si>
    <t>UG68/MSN/0006</t>
  </si>
  <si>
    <t>ถนนสาทร (2 ฝั่งถนน) (แยกถนนพระรามที่ 4 - ถนนเจริญกรุง)</t>
  </si>
  <si>
    <t>13.72630499219555, 100.54443991593318</t>
  </si>
  <si>
    <t>13.71861788590893, 100.51513825939988</t>
  </si>
  <si>
    <t>216C</t>
  </si>
  <si>
    <t>UG68/OTH/0001</t>
  </si>
  <si>
    <t>ถนนทรงวาด (2 ฝั่งถนน) (ถนนราชวงศ์ - ถนนเจริญกรุง)</t>
  </si>
  <si>
    <t>13.739560982438089, 100.50483215284562</t>
  </si>
  <si>
    <t>13.736179726306444, 100.51354391848832</t>
  </si>
  <si>
    <t>UG65/OTH/0007</t>
  </si>
  <si>
    <t>ถนนวิภาวดีรังสิต (2 ฝั่งถนน) (ห้าแยกลาดพร้าว - แยกรัชวิภา)</t>
  </si>
  <si>
    <t>13.813637399905678, 100.5601922880701</t>
  </si>
  <si>
    <t>13.83061678294147, 100.55769289913887</t>
  </si>
  <si>
    <t>UG65/OTH/0016</t>
  </si>
  <si>
    <t>ถนนวิภาวดีรังสิต (2 ฝั่งถนน) (แยกรัชวิภา - ถนนงามวงศ์วาน)</t>
  </si>
  <si>
    <t>13.847539117538599, 100.56154407157679</t>
  </si>
  <si>
    <t>UG68/MSN/0003</t>
  </si>
  <si>
    <t>ถนนติวานนท์ (2 ฝั่งถนน) (แยกกรุงเทพนนท์ - แยกแคราย)</t>
  </si>
  <si>
    <t>13.84298287114514, 100.51090893807161</t>
  </si>
  <si>
    <t>13.85902955876802, 100.52166995473303</t>
  </si>
  <si>
    <t>UG68/MSN/0026</t>
  </si>
  <si>
    <t>ถนนนครอินทร์ (2 ฝั่งถนน) (นครอินทร์ - กรุงเทพนนท์)</t>
  </si>
  <si>
    <t>13.833026077932532, 100.49630051361952</t>
  </si>
  <si>
    <t>13.843006092864622, 100.51086234465382</t>
  </si>
  <si>
    <t>UG65/NTC/0008</t>
  </si>
  <si>
    <t>ถนนรัชดาภิเษก 2 (2 ฝั่งถนน) (ถนนเพชรบุรี - แยกสุทธิสาร)</t>
  </si>
  <si>
    <t>13.748956008689177, 100.56338852059962</t>
  </si>
  <si>
    <t>13.789756397039273, 100.57417618016926</t>
  </si>
  <si>
    <t>UG68/NTC/0013</t>
  </si>
  <si>
    <t>ถนนเพชรบุรี ช่วงที่ 1 (2 ฝั่งถนน) (แยกคลองตัน - ทางรถไฟ)</t>
  </si>
  <si>
    <t>13.740981230694201, 100.60078273605333</t>
  </si>
  <si>
    <t>13.749005091156855, 100.5634206550746</t>
  </si>
  <si>
    <t>สมุทรปราการ</t>
  </si>
  <si>
    <t>UG66/MSN/0006</t>
  </si>
  <si>
    <t>ถนนเทพารักษ์ (2 ฝั่งถนน) (ถนนศรีนครินทร์ - ถนนสุขุทวิท)</t>
  </si>
  <si>
    <t>13.627654688688677, 100.62693086661409</t>
  </si>
  <si>
    <t>13.645462789992136, 100.59540816586255</t>
  </si>
  <si>
    <t>UG68/MSN/0014</t>
  </si>
  <si>
    <t>ถนนวงศ์สว่าง (2 ฝั่งถนน) (แยกวงศ์สว่าง - สะพานพระรามที่ 7)</t>
  </si>
  <si>
    <t>13.828280446564875, 100.52844899918583</t>
  </si>
  <si>
    <t>13.815065383626976, 100.51465005727985</t>
  </si>
  <si>
    <t>UG68/NTC/0020</t>
  </si>
  <si>
    <t>สิรินธร (2 ฝั่งถนน) (สะพานกรุงธน - คลองบางกอกน้อย)</t>
  </si>
  <si>
    <t>13.781648499316042, 100.50094361239289</t>
  </si>
  <si>
    <t>13.786976409115878, 100.46589920749993</t>
  </si>
  <si>
    <t>UG68/OTH/0004</t>
  </si>
  <si>
    <t>ถนนราชวิถี (2 ฝั่งถนน) (อนุสาวรีย์ชัยสมรภูมิ - สามเหลี่ยมดินแดง)</t>
  </si>
  <si>
    <t>13.764800092495538, 100.53877615319551</t>
  </si>
  <si>
    <t>13.762744439907017, 100.54278408144117</t>
  </si>
  <si>
    <t>UG65/NTC/0021</t>
  </si>
  <si>
    <t>ถนนอิสรภาพ (2 ฝั่งถนน) (ประชาธิปก - สุทธาวาส)</t>
  </si>
  <si>
    <t>13.730865105684142, 100.49468121949658</t>
  </si>
  <si>
    <t>13.760283704312112, 100.47776346588293</t>
  </si>
  <si>
    <t>UG65/NTC/0017</t>
  </si>
  <si>
    <t>ถนนเพชรบุรี ช่วงที่ 2 (2 ฝั่งถนน) (ทางรถไฟด่านเก็บเงินเพชรบุรี - ราชปรารภ)</t>
  </si>
  <si>
    <t>13.749787403474818, 100.54964343484802</t>
  </si>
  <si>
    <t>13.7499458602298, 100.54105478866208</t>
  </si>
  <si>
    <t>UG68/MSN/0017</t>
  </si>
  <si>
    <t>ถนนเพชรเกษม (2 ฝั่งถนน) (ท่าพระ - ถนนราชพฤกษ์)</t>
  </si>
  <si>
    <t>13.729464086264572, 100.47426293686144</t>
  </si>
  <si>
    <t>13.720709494464097, 100.45810571288538</t>
  </si>
  <si>
    <t>UG68/MSN/0023</t>
  </si>
  <si>
    <t>พรานนก และ วังหลัง (2 ฝั่งถนน) (แยกไฟฉาย - อรุณอมรินทร์)</t>
  </si>
  <si>
    <t>13.754875983721924, 100.46942046265632</t>
  </si>
  <si>
    <t>13.75603866624026, 100.48343462595759</t>
  </si>
  <si>
    <t>UG66/OTH/0012</t>
  </si>
  <si>
    <t>ถนนเจริญราษฎร์ (2 ฝั่งถนน) (ถนนพระราม 3 - ถนนสาทร)</t>
  </si>
  <si>
    <t>13.689649688758289, 100.50944504619831</t>
  </si>
  <si>
    <t>13.718744533135638, 100.51983267752003</t>
  </si>
  <si>
    <t>UG68/OTH/0006</t>
  </si>
  <si>
    <t>ถนนดินแดง (2 ฝั่งถนน) (สามเหลี่ยมดินแดง - แยกถนนรัชดา)</t>
  </si>
  <si>
    <t>13.756070282325858, 100.56500886653677</t>
  </si>
  <si>
    <t>กรุงเทพมหานคร,นนทบุรี</t>
  </si>
  <si>
    <t>UG68/MSN/0010</t>
  </si>
  <si>
    <t>ถนนกรุงเทพ- นนทบุรี (2 ฝั่งถนน) (แยกติวานนท์ - แยกเตาปูน)</t>
  </si>
  <si>
    <t>13.84297790150584, 100.51094977149363</t>
  </si>
  <si>
    <t>13.806327978258864, 100.53079510194443</t>
  </si>
  <si>
    <t>UG69/MSN/0005</t>
  </si>
  <si>
    <t>ถนนศรีนครินทร์ ช่วงที่ 4 (2 ฝั่งถนน) (แยกศรีเทพา - ถนนสุขุมวิท)</t>
  </si>
  <si>
    <t>13.627698595878012, 100.62686857592635</t>
  </si>
  <si>
    <t>13.595274062814857, 100.60721248910681</t>
  </si>
  <si>
    <t>UG68/MSN/0007</t>
  </si>
  <si>
    <t>ถนนสุขุมวิท ช่วงที่ 1 (2 ฝั่งถนน) (ซอยสุขุมวิท 71 - แยกบางนา)</t>
  </si>
  <si>
    <t>13.713203690930486, 100.59416227388795</t>
  </si>
  <si>
    <t>13.673355369035688, 100.60683776058906</t>
  </si>
  <si>
    <t>นนทบุรี,กรุงเทพมหานคร</t>
  </si>
  <si>
    <t>UG68/OTH/0011</t>
  </si>
  <si>
    <t>ถนนงามวงศ์วาน ช่วงที่ 2 (2 ฝั่งถนน) (แยกพงษ์เพชร -แยกตัดถนนวิภาวดี)</t>
  </si>
  <si>
    <t>13.85624018036317, 100.54505760117429</t>
  </si>
  <si>
    <t>13.84756954491032, 100.56152120728179</t>
  </si>
  <si>
    <t>UG68/OTH/0009</t>
  </si>
  <si>
    <t>ถนนรัชดาภิเษก 3 (2 ฝั่งถนน) (แยกสุทธิสาร-แยกถนนวิภาวดี)</t>
  </si>
  <si>
    <t>13.830685694010125, 100.55756281057124</t>
  </si>
  <si>
    <t>UG65/NTC/0014</t>
  </si>
  <si>
    <t>ถนนพหลโยธิน 2 (2 ฝั่งถนน) (แยกเกษตร - อนุสาวรีย์ หลักสี่)</t>
  </si>
  <si>
    <t>13.839827968444329, 100.57550524543554</t>
  </si>
  <si>
    <t>13.875589177462665, 100.59676768400197</t>
  </si>
  <si>
    <t>UG67/OTH/0005</t>
  </si>
  <si>
    <t>ถนนลาดพร้าว ช่วงที่ 3 (2 ฝั่งถนน) ถนนประดิษฐมนูธรรม -แยกบางกระปิ)</t>
  </si>
  <si>
    <t>13.786459682047154, 100.60876053559376</t>
  </si>
  <si>
    <t>13.766300609623196, 100.64787717735416</t>
  </si>
  <si>
    <t>UG68/MSN/0002</t>
  </si>
  <si>
    <t>ถนนศรีนครินทร์ ช่วงที่ 1 (2 ฝั่งถนน) (แยกบางกะปิ - ถนนอ่อนนุช)</t>
  </si>
  <si>
    <t>13.7660546465012, 100.64532484985841</t>
  </si>
  <si>
    <t>13.712741344301582, 100.64378503803319</t>
  </si>
  <si>
    <t>UG68/MSN/0012</t>
  </si>
  <si>
    <t>ถนนติวานนท์ (2 ฝั่งถนน) (ห้าแยกปากเกร็ด - แยกแคราย)</t>
  </si>
  <si>
    <t>13.907483451106742, 100.50426981226043</t>
  </si>
  <si>
    <t>13.859106845100559, 100.52162183687501</t>
  </si>
  <si>
    <t>UG68/MSN/0011</t>
  </si>
  <si>
    <t>ถนนพระรามที่ 3 ช่วงที่ 3 (2 ฝั่งถนน) (ถนนตก - ถนนมไหสวรรย์)</t>
  </si>
  <si>
    <t>13.697207935948072, 100.49696301006382</t>
  </si>
  <si>
    <t>13.702965139932047, 100.48847828631324</t>
  </si>
  <si>
    <t>UG65/OTH/0017</t>
  </si>
  <si>
    <t>ถนนวิภาวดีรังสิต ช่วงที่ 1 (2 ฝั่งถนน) (ดินแดง - ลาดพร้าว)</t>
  </si>
  <si>
    <t>13.763888548398961, 100.54821285898583</t>
  </si>
  <si>
    <t>13.81366815830685, 100.56018218643692</t>
  </si>
  <si>
    <t>UG68/OTH/0010</t>
  </si>
  <si>
    <t>ถนนรัตนาธิเบศร์ ช่วงที่ 1 (2 ฝั่งถนน) (สี่แยกแคราย - สะพานพระนั่งเกล้า)</t>
  </si>
  <si>
    <t>13.85913947230355, 100.52167406050074</t>
  </si>
  <si>
    <t>13.870702682930677, 100.47771600701854</t>
  </si>
  <si>
    <t>UG69/MSN/0007</t>
  </si>
  <si>
    <t>ถนนอรุณอมรินทร์ ช่วงที่ 2 (2 ฝั่งถนน) (คลองบางกอกน้อย - เชิงสะพานสะพาน 8)</t>
  </si>
  <si>
    <t>13.761383025574109, 100.48267144386014</t>
  </si>
  <si>
    <t>13.769583497524769, 100.49599458599297</t>
  </si>
  <si>
    <t>UG69/OTH/0028</t>
  </si>
  <si>
    <t>ถนนอรุณอมรินทร์ ช่วงที่ 1 (2 ฝั่งถนน) (ถนนประชาธิปก - คลองบางกอกน้อย)</t>
  </si>
  <si>
    <t>13.734311884147507, 100.495841100084</t>
  </si>
  <si>
    <t>UG69/MSN/0012</t>
  </si>
  <si>
    <t>ถนนเพชรเกษม (2 ฝั่งถนน) (ถนนราษพฤกษ์ - ถนนพุทธมณฑลสาย 1)</t>
  </si>
  <si>
    <t>13.712442672460654, 100.42853458862193</t>
  </si>
  <si>
    <t>UG68/MSN/0024</t>
  </si>
  <si>
    <t>ถนนพุทธมณฑลสาย 1 ช่วงที่ 2 (2 ฝั่งถนน) (พระเทพตัดใหม่ - เลียบทางรถไฟสายใต้)</t>
  </si>
  <si>
    <t>13.753574880218858, 100.42731599609787</t>
  </si>
  <si>
    <t>13.79881929259296, 100.42620183919459</t>
  </si>
  <si>
    <t>UG69/MSN/0006</t>
  </si>
  <si>
    <t>ถนนพระราม 9 ช่วงที่ 2 (2 ฝั่งถนน) (คลองชวดใหญ่ - แยกรามคำแหง)</t>
  </si>
  <si>
    <t>13.74738787806981, 100.60562027192252</t>
  </si>
  <si>
    <t>UG69/MSN/0008</t>
  </si>
  <si>
    <t>ถนนแจ้งวัฒนะ ช่วงที่ 3/1 (2 ฝั่งถนน) (คลองประปา - ถนนวิภาวดี-รังสิต)</t>
  </si>
  <si>
    <t>13.89530513640685, 100.55428581935875</t>
  </si>
  <si>
    <t>13.884289395891543, 100.58168848808198</t>
  </si>
  <si>
    <t>UG68/MSN/0001</t>
  </si>
  <si>
    <t>ถนนพระราม 3 ช่วงที่ 1 (2 ฝั่งถนน) (แยกคลองเตย - สะพานภูมิพล)</t>
  </si>
  <si>
    <t>13.720230576746575, 100.55911165911864</t>
  </si>
  <si>
    <t>13.670573996716708, 100.5387166486538</t>
  </si>
  <si>
    <t>UG69/MSN/0009</t>
  </si>
  <si>
    <t>ถนนแจ้งวัฒนะ ช่วงที่ 4 (2 ฝั่งถนน) (ถนนวิภาวดี-รังสิต - ถนนพหลโยธิน)</t>
  </si>
  <si>
    <t>13.875983265434332, 100.5962550556618</t>
  </si>
  <si>
    <t>UG69/MSN/0013</t>
  </si>
  <si>
    <t>ถนนศรีนครินทร์ ช่วงที่ 2 (2 ฝั่งถนน) (ถนนอ่อนนุช - ถนนบางนา-ตราด)</t>
  </si>
  <si>
    <t>13.712747549388109, 100.64380351741858</t>
  </si>
  <si>
    <t>13.665775567115967, 100.64442178038604</t>
  </si>
  <si>
    <t>UG68/MSN/0015</t>
  </si>
  <si>
    <t>ถนนพุทธมณฑลสาย 1 ช่วงที่ 1 (2 ฝั่งถนน) (ถนนเพชรเกษม - ถนนพระเทพตัดใหม่)</t>
  </si>
  <si>
    <t>UG69/MSN/0011</t>
  </si>
  <si>
    <t>ถนนเพชรเกษม (2 ฝั่งถนน) (ถนนพุทธมณฑลสาย 1 -ถนนกาญจนาภิเษก)</t>
  </si>
  <si>
    <t>13.710662902290956, 100.40597525539593</t>
  </si>
  <si>
    <t>UG69/MSN/0004</t>
  </si>
  <si>
    <t>ถนนศรีนครินทร์ ช่วงที่ 3 (2 ฝั่งถนน) (ถนนบางนา-ตราด - แยกศรีเทพา)</t>
  </si>
  <si>
    <t>13.665990630527826, 100.64440222542729</t>
  </si>
  <si>
    <t>13.627650297263113, 100.62689861016285</t>
  </si>
  <si>
    <t>UG69/MSN/0003</t>
  </si>
  <si>
    <t>ถนนรามอินทรา (2 ฝั่งถนน) (วงเวียนวัดพระศรีฯ - แยกคู้บอน)</t>
  </si>
  <si>
    <t>13.87492777929034, 100.59709659605444</t>
  </si>
  <si>
    <t>13.839129430098923, 100.66159612076964</t>
  </si>
  <si>
    <t>UG69/MSN/0014</t>
  </si>
  <si>
    <t>ถนนรามอินทรา (แยกคู้บอน - คลองสามวา)</t>
  </si>
  <si>
    <t>13.812506975237836, 100.72979212876209</t>
  </si>
  <si>
    <t>UG69/MSN/0015</t>
  </si>
  <si>
    <t>ถนนแจ้งวัฒนะ ช่วงที่ 3/2 (ทางพิเศษศรีรัช - คลองประปา)</t>
  </si>
  <si>
    <t>13.899372925390463, 100.54277034556605</t>
  </si>
  <si>
    <t>13.895382174855305, 100.55454104855691</t>
  </si>
  <si>
    <t>UG68/OTH/0005</t>
  </si>
  <si>
    <t>ถนนงามวงศ์วาน ช่วงที่ 3 (2 ฝั่งถนน) (แยกตัดถนนวิภาวดี - พหลโยธิน)</t>
  </si>
  <si>
    <t>13.84758785765959, 100.56152134861307</t>
  </si>
  <si>
    <t>13.839737739827928, 100.5755610146902</t>
  </si>
  <si>
    <t>UG69/MSN/0010</t>
  </si>
  <si>
    <t>ถนนประชาราษฎร์สาย 1 (2 ฝั่งถนน) (แยกบางโพ - สะพานพระราม 7)</t>
  </si>
  <si>
    <t>13.806374028743074, 100.52159482948991</t>
  </si>
  <si>
    <t>13.817186370340337, 100.52002635049807</t>
  </si>
  <si>
    <t>UG68/MSN/0008</t>
  </si>
  <si>
    <t>ถนนสุขุมวิท ช่วงที่ 3 (2 ฝั่งถนน) (ถนนกาญจนาภิเษก - ถนนแพรกษา)</t>
  </si>
  <si>
    <t>13.630168405977164, 100.58884218710807</t>
  </si>
  <si>
    <t>13.586975044752382, 100.60888850297216</t>
  </si>
  <si>
    <t>UG68/MSN/0019</t>
  </si>
  <si>
    <t>ถนนพระรามที่ 3 ช่วงที่ 2 (2 ฝั่งถนน) (สะพานภูมิพล - ถนนตก)</t>
  </si>
  <si>
    <t>13.673126085107658, 100.53890823707515</t>
  </si>
  <si>
    <t>13.697198297224833, 100.49698595233737</t>
  </si>
  <si>
    <t>UG68/MSN/0018</t>
  </si>
  <si>
    <t>ถนนเจริญกรุง (2 ฝั่งถนน) (คลองผลุงกรุงเกษม -แยกสี่กั๊กพระยาศรี)</t>
  </si>
  <si>
    <t>13.747233373703788, 100.49765281176246</t>
  </si>
  <si>
    <t>13.738003031794989, 100.51550915208331</t>
  </si>
  <si>
    <t>UG68/MSN/0013</t>
  </si>
  <si>
    <t>ถนนพระเทพตัดใหม่ (2 ฝั่งถนน) (สี่แยกไฟฉาย - ถนนกาญจนาภิเษก)</t>
  </si>
  <si>
    <t>13.754833084923735, 100.46935875678437</t>
  </si>
  <si>
    <t>13.754392915667289, 100.40580883168056</t>
  </si>
  <si>
    <t>UG68/MSN/0016</t>
  </si>
  <si>
    <t>ถนนประชาอุทิศ (2 ฝั่งถนน) (ซอยยอดทอง - เทียมร่วมมิตร)</t>
  </si>
  <si>
    <t>13.771411786582167, 100.58319567528908</t>
  </si>
  <si>
    <t>13.769062391315767, 100.59290692530479</t>
  </si>
  <si>
    <t>13.899370185812154, 100.54277691745018</t>
  </si>
  <si>
    <t>13.895298639191186, 100.55433576173502</t>
  </si>
  <si>
    <t>UG66/OTH/0007</t>
  </si>
  <si>
    <t>ถนนราชปรารภ (2 ฝั่งถนน) (ทางรถไฟ - สามเหลี่ยมดินแดง)</t>
  </si>
  <si>
    <t>13.754867913663, 100.54216825713313</t>
  </si>
  <si>
    <t>13.762858984447334, 100.54275656304196</t>
  </si>
  <si>
    <t>UG70/MSN/0001</t>
  </si>
  <si>
    <t>ถนนพหลโยธิน 3 (2 ฝั่งถนน) (อนุสาวรีย์ หลักสี่ - แยก คปอ.)</t>
  </si>
  <si>
    <t>13.876485304626145, 100.59728724972366</t>
  </si>
  <si>
    <t>13.923555252952413, 100.6250356779664</t>
  </si>
  <si>
    <t>UG69/MSN/0002</t>
  </si>
  <si>
    <t>ถนนรัตนาธิเบศร์ ช่วงที่ 2 (2 ฝั่งถนน) (สะพานพระนั่งเกล้า - ถนนกาญจนาภิเษก)</t>
  </si>
  <si>
    <t>13.870321109909677, 100.47486087670299</t>
  </si>
  <si>
    <t>13.874347962981581, 100.40995062564704</t>
  </si>
  <si>
    <t>UG70/MSN/0002</t>
  </si>
  <si>
    <t>ถนนแจ้งวัฒนะ ช่วงที่ 1 (2 ฝั่งถนน) (ท่าน้ำปากเกร็ด - ห้าแยกปากเกร็ด)</t>
  </si>
  <si>
    <t>13.91521504752149, 100.49460184504767</t>
  </si>
  <si>
    <t>13.907504735008951, 100.50425781577174</t>
  </si>
  <si>
    <t>UG70/MSN/0003</t>
  </si>
  <si>
    <t>ถนนสุขุมวิท ช่วงที่ 4 (2 ฝั่งถนน) (ถนนแพรกษา - ซอยเทศบาลบางปู 55)</t>
  </si>
  <si>
    <t>13.586939758868697, 100.60890623719303</t>
  </si>
  <si>
    <t>13.553833431509238, 100.61433951837395</t>
  </si>
  <si>
    <t>UG70/MSN/0004</t>
  </si>
  <si>
    <t>ถนนพระเทพตัดใหม่ (2 ฝั่งถนน) (ถนนกาญจนาภิเษก - คลองเนินทราย)</t>
  </si>
  <si>
    <t>13.754578506595195, 100.40585650135114</t>
  </si>
  <si>
    <t>13.747895639271968, 100.33551919117184</t>
  </si>
  <si>
    <t>UG70/MSN/0005</t>
  </si>
  <si>
    <t>ถนนรามคำแหง 2 (2 ฝั่งถนน) (แยกลำสาลี - ถนนร่มเกล้า)</t>
  </si>
  <si>
    <t>13.762698172726616, 100.64561491034252</t>
  </si>
  <si>
    <t>13.81235267518258, 100.73685634680294</t>
  </si>
  <si>
    <t>UG70/MSN/0006</t>
  </si>
  <si>
    <t>ถนนรามคำแหง 3 (ถนนร่มเกล้า - ถนนสุวินทวงศ์)</t>
  </si>
  <si>
    <t>13.816630274507467, 100.74463060181766</t>
  </si>
  <si>
    <t>ต่างจังหวัด</t>
  </si>
  <si>
    <t>เชียงใหม่</t>
  </si>
  <si>
    <t>UG66/BC1/00052</t>
  </si>
  <si>
    <t>Lot 2 ข้างหล่อ ราชเชียงแสน ถนนมูลเมองบางส่วน ถนนบำรุงบุรี (2 ฝั่งถนน)</t>
  </si>
  <si>
    <t>CMI</t>
  </si>
  <si>
    <t>รื้อถอน Q1/26</t>
  </si>
  <si>
    <t>18.78121164255038, 98.97825360392451</t>
  </si>
  <si>
    <t>18.780996167652162, 98.99254644309715</t>
  </si>
  <si>
    <t>48C</t>
  </si>
  <si>
    <t>บุรีรัมย์</t>
  </si>
  <si>
    <t>UG65/KNG/0012</t>
  </si>
  <si>
    <t>ถนนทางหลวงหมายเลข 2445 ตั้งแต่ พระบรมราชานุเสาวรีย์ รัชกาลที่ 1 ถึง เรือนจำจังหวัดบุรีรัมย์ (2 ฝั่งถนน) (พระบรมราชานุเสาวรีย์ รัชกาลที่ ๑ - เรือนจำจังหวัดบุรีรัมย์)</t>
  </si>
  <si>
    <t>NMA</t>
  </si>
  <si>
    <t>14.98680585899913, 103.10491864320177</t>
  </si>
  <si>
    <t>14.975496605932166, 103.10561805606703</t>
  </si>
  <si>
    <t>ลำปาง</t>
  </si>
  <si>
    <t>UG66/KNG/0013</t>
  </si>
  <si>
    <t>ถนนวังหม้อพัฒนา ถึงสำเภาทอง จ.ลำปาง (2 ฝั่งถนน)</t>
  </si>
  <si>
    <t>18.314899752914442, 99.51911724088842</t>
  </si>
  <si>
    <t>18.307546021692637, 99.51256767149468</t>
  </si>
  <si>
    <t>UG66/BC1/00053</t>
  </si>
  <si>
    <t>Lot 6 ถนนอารักษ์ ถนนบำรุงบุรี และศรีภูมิ (2 ฝั่งถนน)</t>
  </si>
  <si>
    <t>18.795376707724497, 98.97873493605451</t>
  </si>
  <si>
    <t>18.78201208325385, 98.97803797149466</t>
  </si>
  <si>
    <t>นครราชสีมา</t>
  </si>
  <si>
    <t>UG65/BC1/0002</t>
  </si>
  <si>
    <t>(lot 5) จังหวัดนครราชสีมา ถนนมนัส ถนนพลแสน ถนนยมราช ถนนอัษฎางค์ ถนนจอมพล ถนนมหาดไทยและถนนสรรพสิทธิ์ (2 ฝั่งถนน)</t>
  </si>
  <si>
    <t>14.979245626384941, 102.11145180281781</t>
  </si>
  <si>
    <t>14.972322172755115, 102.1107222360621</t>
  </si>
  <si>
    <t>UG66/BC1/00054</t>
  </si>
  <si>
    <t>Lot 7 ถนนอัษฎาธร ถนนมณีนพรัตน์ ถนนข้างเผือก ถนนหัสดีเสวี ถนนบุญเรืองฤทธิ์ ถนนมหิตล และถนนทิพย์เนตร (2 ฝั่งถนน)</t>
  </si>
  <si>
    <t>18.795936714833697, 98.97797820290323</t>
  </si>
  <si>
    <t>18.781818324082963, 98.97727009968271</t>
  </si>
  <si>
    <t>เชียงราย</t>
  </si>
  <si>
    <t>UG66/LCA/0004</t>
  </si>
  <si>
    <t>ถนนธนาลัย ถนนรัตนาเขต ถนนบรรพปราการ (2 ฝั่งถนน)</t>
  </si>
  <si>
    <t>19.908760369125446, 99.83067685406807</t>
  </si>
  <si>
    <t>19.909070020709823, 99.84016537887467</t>
  </si>
  <si>
    <t>24C</t>
  </si>
  <si>
    <t>UG65/BC1/0001</t>
  </si>
  <si>
    <t>(Lot 4) ถนนประจักษ์ ถนนไชยณรงค์ ถนนราชนิกูล ถนนราชดำเนิน ถนนพลแสน ถนนยมราช ถนนอัษฎางค์ ถนนจอมพล ถนนมหาดไทย (2 ฝั่งถนน)</t>
  </si>
  <si>
    <t>14.973493368521664, 102.11072222556784</t>
  </si>
  <si>
    <t>14.973617743393449, 102.11336152747383</t>
  </si>
  <si>
    <t>ภูเก็ต</t>
  </si>
  <si>
    <t>UG65/LCA/0004</t>
  </si>
  <si>
    <t>ถนนภูเก็ตส่วนที่เหลือ เขตย่านการค้าเมืองเก่า (2 ฝั่งถนน) (สะพานพระอร่าม - วงเวียนกระเฌอ)</t>
  </si>
  <si>
    <t>PKT</t>
  </si>
  <si>
    <t>รื้อถอน Q2/26</t>
  </si>
  <si>
    <t>7.876817322161606, 98.39360041633508</t>
  </si>
  <si>
    <t>7.8699411730779, 98.39419974451415</t>
  </si>
  <si>
    <t>สงขลา</t>
  </si>
  <si>
    <t>UG65/BC1/0034</t>
  </si>
  <si>
    <t>ถนนราษฎร์ยินดี ช่วง 2 (2 ฝั่งถนน) (ถนนธรรมนูญวิถี - ถนนศุภสารรังสรรค์)</t>
  </si>
  <si>
    <t>HYI</t>
  </si>
  <si>
    <t>UG68/BC1/0001</t>
  </si>
  <si>
    <t>Lot 3 ถนนราชภาคิมัย และถนนราชมรรคา (2 ฝั่งถนน)</t>
  </si>
  <si>
    <t>18.781510007079742, 98.98988514478134</t>
  </si>
  <si>
    <t>18.795177734879488, 98.99003821340695</t>
  </si>
  <si>
    <t>เช่า Core NT</t>
  </si>
  <si>
    <t>ศรีสะเกษ</t>
  </si>
  <si>
    <t>UG66/KNG/0046</t>
  </si>
  <si>
    <t>จังหวัดศรีสะเกษ ถนนศรีสะเกษ อุทุมพรพิสัย (2 ฝั่งถนน) (สะทานขาว - โรงพยาบาลศรีสะเกษ)</t>
  </si>
  <si>
    <t>UBN</t>
  </si>
  <si>
    <t>15.114562, 104.320832</t>
  </si>
  <si>
    <t>15.113908, 104.343070</t>
  </si>
  <si>
    <t>UG65/BC1/0003</t>
  </si>
  <si>
    <t>(Lot 6) ถนนจักรี ถนนกำแหงสงคราม ถนนพลแสน ถนนอัษฎาค์ ถนนยมราช ถนนจอมพล ถนนมหาดไทยและถนนสรรพสิทธิ์ (2 ฝั่งถนน)</t>
  </si>
  <si>
    <t>14.973931196597153, 102.08376767661682</t>
  </si>
  <si>
    <t>14.97308130412379, 102.0978868247932</t>
  </si>
  <si>
    <t>UG65/BC1/0033</t>
  </si>
  <si>
    <t>ถนนราษฎร์ยินดี ช่วง 1 (2 ฝั่งถนน) (ถนนราษฎร์ยินดี/ถนนศรีภูวนาท - ถนนธรรมนูญวิถี)</t>
  </si>
  <si>
    <t>6.998493127472909, 100.47951131793386</t>
  </si>
  <si>
    <t>7.018394561181121, 100.4825021313393</t>
  </si>
  <si>
    <t>UG65/LCA/0006</t>
  </si>
  <si>
    <t>ถนนราษฎร์อุทิศ 200 ปี (2 ฝั่งถนน)</t>
  </si>
  <si>
    <t>7.905117918374678, 98.30098590363839</t>
  </si>
  <si>
    <t>7.884432612795574, 98.29291155116988</t>
  </si>
  <si>
    <t>สมุทรสาคร</t>
  </si>
  <si>
    <t>UG66/KNG/0027</t>
  </si>
  <si>
    <t>วิทยาลัยเทคนิคสมุทรสาคร ถึงท่อเรือข้ามฟากมหาชัย - ท่าฉลอม ถนนเศรษฐกิจ 1 (2 ฝั่งถนน)(วิทยาลัยเทคนิคสมุทรสาคร - ท่าเรือข้ามฟากมหาชัย - ท่าฉลอม)</t>
  </si>
  <si>
    <t>RBI</t>
  </si>
  <si>
    <t>13.54966596873049, 100.27408303561192</t>
  </si>
  <si>
    <t>7.562376888328076, 99.60523322061258</t>
  </si>
  <si>
    <t>แม่ฮ่องสอน</t>
  </si>
  <si>
    <t>UG66/KNG/0015</t>
  </si>
  <si>
    <t>ถนนขุมลุมประหาส ช่วงสามแยกอนุเสาวรีย์พระยาสิงหนาทราชา ถึงสี่แยกถนนขุนลุมประพาสตัดกับถนนสิงหนาทบำรุง อ.เมือง จ.แม่ฮ่องสอน (2 ฝังถนน) (ช่วงสามแยกอนุเสาวรีย์พระยาสิงหนาทราชา - สี่แยกถนนขุนลุมประหาสตัดกับถนนสิงหนาทบำรุง อ.เมือง จ.แม่ฮ่องสอน)</t>
  </si>
  <si>
    <t>19.296622677749685, 97.9637283744381</t>
  </si>
  <si>
    <t>19.292616810779386, 97.9645569287117</t>
  </si>
  <si>
    <t>ชลบุรี</t>
  </si>
  <si>
    <t>UG68/LCA/0006</t>
  </si>
  <si>
    <t>บริเวณถนนพระยาสัจจาจากสามแยกโรงเรียนชลราษฎร์อำรุง ถึง สุดเขตเทศบาลเมืองบ้านสวนปากซอยบ้านสวน - พระยาสัจจา 10 จ.ชลบุรี (2 ฝั่งถนน) (ปากซอยบ้านสวน - พระยาสัจจา 10)</t>
  </si>
  <si>
    <t>CBI</t>
  </si>
  <si>
    <t>13.3520124,100.9758000</t>
  </si>
  <si>
    <t>13.3444592,100.9662225</t>
  </si>
  <si>
    <t>นครพนม</t>
  </si>
  <si>
    <t>UG65/KNG/0011</t>
  </si>
  <si>
    <t>ถนนอภิบาลบัญชา (แยกถนนนิตโย ถึงซอยปิยะมหาราชวิทยาลัย) (2 ฝั่งถนน) (แยกถนนนิตโย - ซอยปิยะมหาราชวิทยาลัย)</t>
  </si>
  <si>
    <t>UDN</t>
  </si>
  <si>
    <t>17.397873173358434, 104.78531659526675</t>
  </si>
  <si>
    <t>17.40239685998301, 104.78321744495373</t>
  </si>
  <si>
    <t>อุบลราชธานี</t>
  </si>
  <si>
    <t>UG65/KNG/0031</t>
  </si>
  <si>
    <t>จังหวัดอุบลราชธานี บริเวณถนนชยางกูร (2 ฝั่งถนน)</t>
  </si>
  <si>
    <t>15.237625433545, 104.85382954310555</t>
  </si>
  <si>
    <t>15.235685635545082, 104.85450279601359</t>
  </si>
  <si>
    <t>UG68/BC1/0002</t>
  </si>
  <si>
    <t>Lot 4 ถนนพระปกเกล้า, ถนนเวียงแก้ว, ถนนมูลเมือง, ถนนจาบาน และถนนราชมรรคา (2 ฝั่งถนน)</t>
  </si>
  <si>
    <t>18.78172967991204, 98.98533898317552</t>
  </si>
  <si>
    <t>18.795177734854935, 98.98673373185727</t>
  </si>
  <si>
    <t>หนองบัวลำภู</t>
  </si>
  <si>
    <t>UG66/KNG/0020</t>
  </si>
  <si>
    <t>จุดเริ่มตัดสามแยก ถ.หมายเลข 210 ตัดถนนหมายเลข 228 ถึงจุดสิ้นสุดบริษัท เงินติดล้อ ถ. อนาลโย จ.หนองบัวลำภู (2 ฝั่งถนน) (สามแยก ถ.หมายเลข 210 ตัดถนนหมายเลข 228 - ถ. อนาลโย)</t>
  </si>
  <si>
    <t>KKN</t>
  </si>
  <si>
    <t>17.20770740975192, 102.44563119871563</t>
  </si>
  <si>
    <t>17.20031761257868, 102.44094430043553</t>
  </si>
  <si>
    <t>สุรินทร์</t>
  </si>
  <si>
    <t>UG66/KNG/0005</t>
  </si>
  <si>
    <t>ถนนกรุงศรีนอก ถนนจิตบำรุง (อนุเสาวรีย์พระยาสุรินทร์ภักดีศรีณรงค์จางวาง ถึง แยกวัดหนองบัว) (2 ฝั่งถนน) (อนุเสาวรีย์พระยาสุรินทร์ภักดีศรีณรงค์จางวาง - แยกวัดหนองบัว</t>
  </si>
  <si>
    <t>14.878345339925493, 103.48963116345188</t>
  </si>
  <si>
    <t>14.887037853859473, 103.49483995684218</t>
  </si>
  <si>
    <t>UG66/KNG/0006</t>
  </si>
  <si>
    <t>ถนนจอมพล (2 ฝั่งถนน) (ถนนประจักษ์ - ประตูพลล้าน)</t>
  </si>
  <si>
    <t>14.97471921603506, 102.09851749719145</t>
  </si>
  <si>
    <t>14.97508369171606, 102.11374184021234</t>
  </si>
  <si>
    <t>ปัตตานี</t>
  </si>
  <si>
    <t>UG66/KNG/0041</t>
  </si>
  <si>
    <t>พิพิธ -ยะรัง บริเวณมัสยิดกลาง จ.ปัตตานี ถึง สี่แยก รพ.ปัตตานี /ถนนพิพิธ-ถนนยะรัง (2 ฝั่งถนน) (สี่แยกถนนหนองจิก / รพ.ปัตตานี - สี่แยกถนนอุดมวิถี/ บริเวณมัสยิดกลาง</t>
  </si>
  <si>
    <t>6.863827562833702, 101.25670189884161</t>
  </si>
  <si>
    <t>6.871569890970845, 101.24985445541851</t>
  </si>
  <si>
    <t>พระนครศรีอยุธยา</t>
  </si>
  <si>
    <t>UG68/LCA/0013</t>
  </si>
  <si>
    <t>ถนนโรจนะ (2 ฝั่งถนน) (สะพานคลองโพธิ์ - แยกทางรถไฟ)</t>
  </si>
  <si>
    <t>AYA</t>
  </si>
  <si>
    <t>14.3498052,100.6033728</t>
  </si>
  <si>
    <t>14.3526520,100.5834787</t>
  </si>
  <si>
    <t>UG65/LCA/0005</t>
  </si>
  <si>
    <t>ถนนบางลา (2 ฝั่งถนน)</t>
  </si>
  <si>
    <t>7.893158447196916, 98.29829107146995</t>
  </si>
  <si>
    <t>7.894060652419132, 98.29532175635676</t>
  </si>
  <si>
    <t>UG66/BC1/0001</t>
  </si>
  <si>
    <t>ถนนพัทยาสาย 3 (2 ฝั่งถนน) (ชุมสายในเขตพัทยา - ปริญญา)</t>
  </si>
  <si>
    <t>12.9349379,100.8920463</t>
  </si>
  <si>
    <t>12.9496161,100.8970225</t>
  </si>
  <si>
    <t>ดำเนินการไปแล้ว</t>
  </si>
  <si>
    <t>อำนาจเจริญ</t>
  </si>
  <si>
    <t>UG66/KNG/0007</t>
  </si>
  <si>
    <t>ถนนสี่แยกมิ่งมงคล ช่วงถนนชยางกูร 212 จากหน้าสำนักงานศูนย์บริการทีโอที ถึง หน้าแขวงการทางหลวงอำนาจเจริญ อ.เมือง จ. อำนาจเจริญ (2 ฝั่งถนน)</t>
  </si>
  <si>
    <t>15.86573944455716, 104.62744794971319</t>
  </si>
  <si>
    <t>15.8534611,104.6314904</t>
  </si>
  <si>
    <t>หนองคาย</t>
  </si>
  <si>
    <t>UG67/LCA/0006</t>
  </si>
  <si>
    <t>บริเวณถนนมีชัย ช่วงตั้งแต่แยกดอนแดง ถึงแยกตลาดวัดธาตุ จ.หนองคาย (2 ฝั่งถนน) (แยกตอนแดง -ตลาดวัดธาตุ)</t>
  </si>
  <si>
    <t>17.882823531101298, 102.74358291010638</t>
  </si>
  <si>
    <t>17.8851089,102.7502951</t>
  </si>
  <si>
    <t>ยโสธร</t>
  </si>
  <si>
    <t>UG66/KNG/0045</t>
  </si>
  <si>
    <t>ถนนแจ้งสนิทบริเวณหน้าสถานีตำรวจภูธร เมืองยโสธร ถึง สี่แยกไฟแดง หน้าที่ว่าการอำเภอ เมืองยโสธร (2ฝั่งถนน) (บริเวณสี่แยกที่ว่าการอำเภอ - สถานีตำรวจภูธร เมืองยโสธร)</t>
  </si>
  <si>
    <t>15.804817, 104.137315</t>
  </si>
  <si>
    <t>15.795572, 104.141701</t>
  </si>
  <si>
    <t>UG66/BC1/0002</t>
  </si>
  <si>
    <t>ถนนพัทยาสาย 2 (2 ฝั่งถนน)</t>
  </si>
  <si>
    <t>รื้อถอน Q3/26</t>
  </si>
  <si>
    <t>เชา core NT</t>
  </si>
  <si>
    <t>12.9366143,100.8862925</t>
  </si>
  <si>
    <t>12.9208509,100.8698331</t>
  </si>
  <si>
    <t>UG65/BC1/0035</t>
  </si>
  <si>
    <t>ถนนราษฎร์ยินดี ช่วง 3 (2 ฝั่งถนน) (ถนนศุภสารรังสรรค์ - ถนนเพชรเกษม)</t>
  </si>
  <si>
    <t>UG68/LCA/0009</t>
  </si>
  <si>
    <t>บริเวณถนนเทพกระษัตรี ถนนดีบุก ถนนภูเก็ต (2 ฝั่งถนน)</t>
  </si>
  <si>
    <t>7.899611051464421, 98.38892048439538</t>
  </si>
  <si>
    <t>7.884781982599016, 98.39080401076137</t>
  </si>
  <si>
    <t>กาญจนบุรี</t>
  </si>
  <si>
    <t>UG68/LCA/0018</t>
  </si>
  <si>
    <t>ถนนแสงซูโตหน้าสถานีขนส่ง ถนนอู่ทอง (2 ฝั่งถนน)</t>
  </si>
  <si>
    <t>14.011385369242385, 99.53737969158759</t>
  </si>
  <si>
    <t>14.033058617314964, 99.52479854439986</t>
  </si>
  <si>
    <t>UG65/KNG/0014</t>
  </si>
  <si>
    <t>ถนนแจ้งสนิท เข้าและออก (หน้าศาลากลาง ถึงหน้าศาลปกครอง) (2 ฝั่งถนน)</t>
  </si>
  <si>
    <t>15.277319847111709, 104.79884699496078</t>
  </si>
  <si>
    <t>15.274111182195199, 104.80677224075812</t>
  </si>
  <si>
    <t>UG68/BC1/0003</t>
  </si>
  <si>
    <t>Lot 5 ถนนราชดำเนินและถนนสามล้าน (2 ฝั่งถนน)</t>
  </si>
  <si>
    <t>18.79531992909168, 98.98173409432738</t>
  </si>
  <si>
    <t>18.781781099692996, 98.98153068652091</t>
  </si>
  <si>
    <t>UG68/LCA/0020</t>
  </si>
  <si>
    <t>บริเวณแยกวงเวียนหาดบางแสน - โรงแรมเอสทู (ช่วงที่ 3) (2 ฝั่งถนน) (วงเวียนหาดบางแสน - โรงแรมเอสทู (ช่วงที่ 3))</t>
  </si>
  <si>
    <t>13.2839883,100.9155507</t>
  </si>
  <si>
    <t>13.2987984,100.9022166</t>
  </si>
  <si>
    <t>ไม่กระทบสาย UIH</t>
  </si>
  <si>
    <t>ระนอง</t>
  </si>
  <si>
    <t>UG68/LCA/0008</t>
  </si>
  <si>
    <t>บริเวณถนนเรืองราษฎร์ (แยกตลาดเก่า - ตลาดพม่า) จ.ระนอง (2 ฝั่งถนน) (แยกตลาดเก่า - ตลาดพม่า)</t>
  </si>
  <si>
    <t>SNI</t>
  </si>
  <si>
    <t>9.970274330707618, 98.63377192790058</t>
  </si>
  <si>
    <t>9.957007981862459, 98.63330946841668</t>
  </si>
  <si>
    <t>ตาก</t>
  </si>
  <si>
    <t>UG68/LCA/0012</t>
  </si>
  <si>
    <t>ถนนประสาทวิถี (2 ฝั่งถนน)</t>
  </si>
  <si>
    <t>PLK</t>
  </si>
  <si>
    <t>Done/Remain Phase II</t>
  </si>
  <si>
    <t>16.71424120970143, 98.56247556587337</t>
  </si>
  <si>
    <t>16.71484482691017, 98.58016737571064</t>
  </si>
  <si>
    <t>ปทุมธานี</t>
  </si>
  <si>
    <t>UG69/LCA/0005</t>
  </si>
  <si>
    <t>บริเวณถนนเลียบคลองสาม ช่วงที่ 1 จังหวัดปทุมธานี (2 ฝั่งถนน)</t>
  </si>
  <si>
    <t>UG66/KNG/0050</t>
  </si>
  <si>
    <t>จังหวัดสงขลา ถนนรามวิถี (2 ฝั่งถนน) (ถนนปละท่า - วิทยาลัยพยาบาล)</t>
  </si>
  <si>
    <t>7.202219112338126, 100.59184529938743</t>
  </si>
  <si>
    <t>7.196108299450994, 100.59354749748819</t>
  </si>
  <si>
    <t>UG68/BC1/0004</t>
  </si>
  <si>
    <t>Lot 8 ถนนทิพย์เนตร (2 ฝั่งถนน)</t>
  </si>
  <si>
    <t>18.774821128945103, 98.98077192992662</t>
  </si>
  <si>
    <t>18.781176104485553, 98.98152976447875</t>
  </si>
  <si>
    <t>สุโขทัย</t>
  </si>
  <si>
    <t>UG68/LCA/0004</t>
  </si>
  <si>
    <t>ถนนจรดวิถีถ่อง ในพื้นที่เทศบาลเมืองสุโขทัย (2 ฝั่งถนน) (โรงเรียนวัดไทยชุมพล - สหกรณ์ออมทรัพย์ครูสุโขทัย)</t>
  </si>
  <si>
    <t>รื้อถอน Q4/26</t>
  </si>
  <si>
    <t>17.015568653725552, 99.82090688156937</t>
  </si>
  <si>
    <t>17.019521684082314, 99.82140036481218</t>
  </si>
  <si>
    <t>นครสวรรค์</t>
  </si>
  <si>
    <t>ถนนพหลโยธิน (2 ฝั่ง ถนน) (2 ฝั่งถนน) (สะพานเดชาติวงศ์ - สถานีไฟฟ้าแรงสูงจังหวัดนครสวรรค์)</t>
  </si>
  <si>
    <t>15.70711345341102, 100.10214941451954</t>
  </si>
  <si>
    <t>15.689506415511515, 100.12340272580727</t>
  </si>
  <si>
    <t>บริเวณเลียบคลองสาม ระยะที่ 2 (1 ฝั่งถนน ฝั่งตรงข้ามคลอง) (คลองสาม 5/1 - ซอยหมู่บ้านภัสสร 1)</t>
  </si>
  <si>
    <t>UG68/LCA/0014</t>
  </si>
  <si>
    <t>ถนนอุบล (2 ฝั่งถนน) (รพ.ศรีสะเกษ - ห้วยน้ำคำ/ถนนขุขันธ์)</t>
  </si>
  <si>
    <t>UG68/LCA/0015</t>
  </si>
  <si>
    <t>ถนนขุขันธ์ (2 ฝั่งถนน) (ตัดถนนเทพา - หน้าสยามนิสสัน)</t>
  </si>
  <si>
    <t>15.10423793580828, 104.32965347781004</t>
  </si>
  <si>
    <t>15.100913987333088, 104.33231861329817</t>
  </si>
  <si>
    <t>ตรัง</t>
  </si>
  <si>
    <t>UG68/LCA/0017</t>
  </si>
  <si>
    <t>ถนนห้วยยอด (2 ฝั่งถนน)</t>
  </si>
  <si>
    <t>7.557995465149645, 99.60445182844136</t>
  </si>
  <si>
    <t>7.562356620934008, 99.60525196220617</t>
  </si>
  <si>
    <t>พิษณุโลก</t>
  </si>
  <si>
    <t>UG68/LCA/0016</t>
  </si>
  <si>
    <t>ถนนพุทธบูชา ถนนพญาลีไท ถนนเอกาทศรถ ถนนมหาธรรมราชา ถนนบรมไตรโลกนาศ (2 ฝั่งถนน)</t>
  </si>
  <si>
    <t>16.805097398348558, 100.24548701400074</t>
  </si>
  <si>
    <t>16.813560413796107, 100.26276999391412</t>
  </si>
  <si>
    <t>บริเวณถนนไตรรัตน์ ถนนสนามบิน ถนนบรรพปราการ และถนนอุตรกิจ อ.เมืองเชียงราย (2 ฝั่งถนน)(โรงพยาบาลเชียงรายประชานุเคราะห์ - โรงพยาบาลโอเวอร์บุค)</t>
  </si>
  <si>
    <t>19.90198856005939, 99.82817546560489</t>
  </si>
  <si>
    <t>19.911151157998003, 99.8280398429926</t>
  </si>
  <si>
    <t>พิจิตร</t>
  </si>
  <si>
    <t>UG68/LCA/0019</t>
  </si>
  <si>
    <t>บริเวณในเขตพื้นที่เทศบาลเมืองตะพานหิน (2 ฝั่งถนน)</t>
  </si>
  <si>
    <t>16.212725981956204, 100.42003726573984</t>
  </si>
  <si>
    <t>16.21029164803761, 100.4193967151068</t>
  </si>
  <si>
    <t>UG68/LCA/0003</t>
  </si>
  <si>
    <t>ถนนสิงหวัฒน์ ในพื้นที่เทศบาลเมืองสุโขทัย (2 ฝั่งถนน) (สะพานพระร่วง - สามแยกอินทรีย์)</t>
  </si>
  <si>
    <t>17.008989269403955, 99.81777709229391</t>
  </si>
  <si>
    <t>17.011413500932896, 99.82067310285551</t>
  </si>
  <si>
    <t>UG68/LCA/0001</t>
  </si>
  <si>
    <t>บริเวณถนนเจิมปัญญา, รื่นรมย์, พัทลุง และรัษฎา ในพื้นที่เทศบาลเมืองตรัง อ.เมืองตรัง (2 ฝั่งถนน)(จุดตัดถนนรัษฎา - อนุสาวรีย์พระยารัษฎานุประดิษฐ์ฯ)</t>
  </si>
  <si>
    <t>7.556904818156101, 99.61006245781043</t>
  </si>
  <si>
    <t>7.558642043748402, 99.61597932564501</t>
  </si>
  <si>
    <t>UG68/LCA/0002</t>
  </si>
  <si>
    <t>บริเวณถนนรังสิต - ปทุมธานี ตั้งแต่บริเวณรางรถไฟ ถึง ทำรถต่างจังหวัด จ.ปทุมธานี (2 ฝั่งถนน) (บริเวณรางรถไฟ - ท่ารถต่างจังหวัด)</t>
  </si>
  <si>
    <t>UG68/LCA/0005</t>
  </si>
  <si>
    <t>บริเวณถนนเหมืองแดง และป่ายาง ในพื้นที่เทศบาลตำบลแม่สาย (2 ฝั่งถนน) (จุตตัตถนนพหลโยธิน -คลองขลประธาน)</t>
  </si>
  <si>
    <t>20.43887353757458, 99.88301910978014</t>
  </si>
  <si>
    <t>20.439028039961926, 99.89357075905973</t>
  </si>
  <si>
    <t>UG68/LCA/0007</t>
  </si>
  <si>
    <t>บริเวณถนนจอมเทียนสาย 2 เมืองพัทยา (2 ฝั่งถนน) (สวนสาธารณะหนองตะแบก - จุดตัดถนนสุขุมวิทย์)</t>
  </si>
  <si>
    <t>12.8838029,100.8854915</t>
  </si>
  <si>
    <t>12.8719797,100.9022803</t>
  </si>
  <si>
    <t>UG69/LCA/0015</t>
  </si>
  <si>
    <t>บริเวณหาดป่าตอง,สวัสดิรักษ์,บางลา,ร่วมใจ และประชานุเคราะห์ (2 ฝั่งถนน)</t>
  </si>
  <si>
    <t>7.882211820587886, 98.29368265878584</t>
  </si>
  <si>
    <t>7.887290591153149, 98.29123527718517</t>
  </si>
  <si>
    <t>UG69/LCA/0010</t>
  </si>
  <si>
    <t>ถนนตอนหัวฬ่อ (2 ฝั่งถนน) (ร้านฟริ้นสโตน - โกดังดับเบิลยูเอชเอ)</t>
  </si>
  <si>
    <t>13.4120526,101.0440291</t>
  </si>
  <si>
    <t>13.4240506,101.0404817</t>
  </si>
  <si>
    <t>UG69/LCA/0019</t>
  </si>
  <si>
    <t>ถนนสุรศักดิ์ 2 (2 ฝั่งถนน)</t>
  </si>
  <si>
    <t>13.1727996,100.9314502</t>
  </si>
  <si>
    <t>13.1734952,100.9264708</t>
  </si>
  <si>
    <t>น่าน</t>
  </si>
  <si>
    <t>UG69/LCA/0022</t>
  </si>
  <si>
    <t>ถนนมหายศ (2 ฝั่งถนน) (สามแยกศาล - สี่แยกสายสวรรค์)</t>
  </si>
  <si>
    <t>18.791765494558653, 100.77995905481717</t>
  </si>
  <si>
    <t>18.775681729186918, 100.77289106641778</t>
  </si>
  <si>
    <t>ราชบุรี</t>
  </si>
  <si>
    <t>UG69/LCA/0031</t>
  </si>
  <si>
    <t>ถนนไกรเพชร (2 ฝั่งถนน) (ถนนรถไฟ - บริเวณห้าแยกสะพานแดง)</t>
  </si>
  <si>
    <t>13.537106588893622, 99.81441400248092</t>
  </si>
  <si>
    <t>13.537841175961946, 99.82337670841281</t>
  </si>
  <si>
    <t>UG69/LCA/0018</t>
  </si>
  <si>
    <t>บริเวณถนนพระยาสัจจา จากคลองโปษยานนท์ ถึง สามแยกโรงเรียนชลราษฎร์อำรุง และถนนบ้านสวน - สุขุมวิท 13 จาก สามแยกโรงเรียนชลราษฎร์อำรุง ถึงถนนสุขุมวิท หมู่ที่ 2,3,4 ตำบลบ้านสวน (2 ฝั่งถนน)</t>
  </si>
  <si>
    <t>13.3594891,100.9796074</t>
  </si>
  <si>
    <t>13.3594850,100.9795980</t>
  </si>
  <si>
    <t>UG69/LCA/0009</t>
  </si>
  <si>
    <t>บริเวณหาตราไวย์ (2 ฝั่งถนน) (จุดตัดถนนวิเศษ - เทศบาลตำบลราไวย์)</t>
  </si>
  <si>
    <t>7.77109857071226, 98.31851253610328</t>
  </si>
  <si>
    <t>7.7757587328022355, 98.32762328424064</t>
  </si>
  <si>
    <t>UG69/LCA/0012</t>
  </si>
  <si>
    <t>ถนนจิตรบำรุง ถนนธนสาร ถนนเทศบาล 3 (2 ฝั่งถนน)</t>
  </si>
  <si>
    <t>14.887283944121917, 103.49501088648123</t>
  </si>
  <si>
    <t>14.888530744800635, 103.49238971187779</t>
  </si>
  <si>
    <t>ชุมพร</t>
  </si>
  <si>
    <t>UG69/LCA/0021</t>
  </si>
  <si>
    <t>บริเวณกรมหลวงชุมพร (2 ฝั่งถนน)</t>
  </si>
  <si>
    <t>10.501454996992223, 99.1775245622891</t>
  </si>
  <si>
    <t>10.498957957941144, 99.18956253050567</t>
  </si>
  <si>
    <t>UG69/LCA/0027</t>
  </si>
  <si>
    <t>ถนนชลมาร์คพิจารณ์ และถนนโชติเวช (2 ฝั่งถนน)</t>
  </si>
  <si>
    <t>มหาสารคาม</t>
  </si>
  <si>
    <t>UG69/LCA/0013</t>
  </si>
  <si>
    <t>บริเวณในพื้นที่เทศบาลเมืองมหาสารคาม อ.เมืองมหาสารคาม (2 ฝั่งถนน)</t>
  </si>
  <si>
    <t>16.1918836,103.2943419</t>
  </si>
  <si>
    <t>16.1849251,103.3027652</t>
  </si>
  <si>
    <t>สุราษฎร์ธานี</t>
  </si>
  <si>
    <t>UG69/LCA/0025</t>
  </si>
  <si>
    <t>ถนนการุณราษฎร์ ถนนบ้านดอน ถนนราษฎร์อุทิศ และถนนศรีวิชัย (2 ฝั่งถนน)</t>
  </si>
  <si>
    <t>9.105550233735853, 99.30378730217507</t>
  </si>
  <si>
    <t>9.133285325396765, 99.31579702916935</t>
  </si>
  <si>
    <t>ประจวบคีรีขันธ์</t>
  </si>
  <si>
    <t>UG69/LCA/0011</t>
  </si>
  <si>
    <t>ถนนดำเนินเกษม (2 ฝั่งถนน)</t>
  </si>
  <si>
    <t>12.567743635353802, 99.95516353805839</t>
  </si>
  <si>
    <t>12.5688300256884, 99.95985074135622</t>
  </si>
  <si>
    <t>UG69/LCA/0026</t>
  </si>
  <si>
    <t>ถนนดอนหัวฬ่อ (2 ฝั่งถนน) (โกดังดับเบิลเอชเอ - สี่แยกดอนขุนวัง)</t>
  </si>
  <si>
    <t>13.4240138,101.0405688</t>
  </si>
  <si>
    <t>13.4293077,101.0379493</t>
  </si>
  <si>
    <t>UG69/LCA/0023</t>
  </si>
  <si>
    <t>ถนนสุริยพงษ์ (2 ฝั่งถนน) (หน้าวัดมิ่งเมือง - สี่แยกลอมเก้าก๋าว)</t>
  </si>
  <si>
    <t>18.77569275040313, 100.76592972971278</t>
  </si>
  <si>
    <t>18.7755708554388, 100.7729785749768</t>
  </si>
  <si>
    <t>อุทัยธานี</t>
  </si>
  <si>
    <t>UG69/LCA/0014</t>
  </si>
  <si>
    <t>ถนนท่าช้าง ,ถนนชัยพฤกษ์ (เลียบแม่น้ำสะแกกัง) ,ถนนศรีอุทัย,ถนนราษฎร์อุทิศ,ถนนเดิมศิริ (2 ฝั่งถนน)</t>
  </si>
  <si>
    <t>15.378270830384242, 100.02129133624034</t>
  </si>
  <si>
    <t>15.381949280705381, 100.02910532223447</t>
  </si>
  <si>
    <t>UG69/LCA/0016</t>
  </si>
  <si>
    <t>บริเวณถนนกะตะ,ท้ายนา,เหมือนใจอุทิศ และเกศขวัญ (2 ฝั่งถนน)</t>
  </si>
  <si>
    <t>7.829537193, 98.29521251</t>
  </si>
  <si>
    <t>7.815652046520528, 98.30077815673611</t>
  </si>
  <si>
    <t>UG69/LCA/0028</t>
  </si>
  <si>
    <t>ถนนนครนอก ,ทะเลหลวง , ราษฎร์อุทิศ 1 (2 ฝั่งถนน)</t>
  </si>
  <si>
    <t>7.192852906294072, 100.59459831486309</t>
  </si>
  <si>
    <t>7.196686467995045, 100.60656785771606</t>
  </si>
  <si>
    <t>UG69/LCA/0029</t>
  </si>
  <si>
    <t>ถนนลงหาดบางแสน (2 ฝั่งถนน) (แยกร้านจรินทร์ - วงเวียนหาดบางแสน)</t>
  </si>
  <si>
    <t>13.2846717,100.9176437</t>
  </si>
  <si>
    <t>13.2839175,100.9158153</t>
  </si>
  <si>
    <t>UG69/LCA/0024</t>
  </si>
  <si>
    <t>ถนนมหาพรหม (2 ฝั่งถนน) (ศาลากลางหลังเก่า - หลังวัดช้างคำ)</t>
  </si>
  <si>
    <t>18.777161523926665, 100.77166672889604</t>
  </si>
  <si>
    <t>18.776385794347828, 100.77476199340494</t>
  </si>
  <si>
    <t>UG69/LCA/0017</t>
  </si>
  <si>
    <t>บริเวณถนนซอยหาดสุรินทร์ 8 (2 ฝั่งถนน)</t>
  </si>
  <si>
    <t xml:space="preserve"> 7.981316,98.281040</t>
  </si>
  <si>
    <t>7.9757102163169495, 98.28049249066144</t>
  </si>
  <si>
    <t>UG69/LCA/0030</t>
  </si>
  <si>
    <t>บริเวณโรงแรมเอสทู ถึงวงเวียนรอบเขาสามมุข และถนนบางแสนสาย 2 (ระยะที่ 5) (2 ฝั่งถนน)</t>
  </si>
  <si>
    <t>13.2989444,100.9021292</t>
  </si>
  <si>
    <t>13.3067587,100.9077058; 13.2849581,100.9179316</t>
  </si>
  <si>
    <t>6.997908096030113, 100.47010621323183</t>
  </si>
  <si>
    <t>6.998356883377764, 100.47912817097277</t>
  </si>
  <si>
    <t>7.007506257079446, 100.46914423615328</t>
  </si>
  <si>
    <t>7.009236829177314, 100.48115751904335</t>
  </si>
  <si>
    <t>14.029830120787144, 100.66352589562734</t>
  </si>
  <si>
    <t>14.04762376273268, 100.66350388256419</t>
  </si>
  <si>
    <t>บริเวณถนนรังสิต - ปทุมธานี ตั้งแต่บริเวณรางรถไฟ ถึง ท่ารถต่างจังหวัด จ.ปทุมธานี (2 ฝั่งถนน) (บริเวณรางรถไฟ - ท่ารถต่างจังหวัด)</t>
  </si>
  <si>
    <t>13.988481986036142, 100.61523878243305</t>
  </si>
  <si>
    <t>13.986233079629509, 100.60267530840942</t>
  </si>
  <si>
    <t>13.946917115910553, 100.6629478614235</t>
  </si>
  <si>
    <t>13.960787627367699, 100.68496220987898</t>
  </si>
  <si>
    <t xml:space="preserve"> 14.047612,100.663507</t>
  </si>
  <si>
    <t xml:space="preserve"> 14.065783,100.663362</t>
  </si>
  <si>
    <t>Request</t>
  </si>
  <si>
    <t>Enclosure 12C/24C</t>
  </si>
  <si>
    <t>Enclosure 60C</t>
  </si>
  <si>
    <t>Enclosure 144C</t>
  </si>
  <si>
    <t>Enclosure 312C</t>
  </si>
  <si>
    <t>Row Labels</t>
  </si>
  <si>
    <t>Grand Total</t>
  </si>
  <si>
    <t>Sum of 12C</t>
  </si>
  <si>
    <t>Sum of 24C</t>
  </si>
  <si>
    <t>Sum of 60C</t>
  </si>
  <si>
    <t>Sum of 144C</t>
  </si>
  <si>
    <t>Sum of 216C</t>
  </si>
  <si>
    <t>Sum of Enclosure 12C/24C</t>
  </si>
  <si>
    <t>Sum of Enclosure 60C</t>
  </si>
  <si>
    <t>Sum of Enclosure 144C</t>
  </si>
  <si>
    <t>Sum of Enclosure 312C</t>
  </si>
  <si>
    <t>312C</t>
  </si>
  <si>
    <t>12C/24C</t>
  </si>
  <si>
    <t>Duct</t>
  </si>
  <si>
    <t>Aerial</t>
  </si>
  <si>
    <t>UPC</t>
  </si>
  <si>
    <t>OFC</t>
  </si>
  <si>
    <t>UG68/LCA/0006_A</t>
  </si>
  <si>
    <t>UG68/LCA/0020_A</t>
  </si>
  <si>
    <t>UG68/LCA/0008_A</t>
  </si>
  <si>
    <t>UG69/MSN/0015_A</t>
  </si>
  <si>
    <t xml:space="preserve"> 13.544579, 100.274974</t>
  </si>
  <si>
    <t xml:space="preserve"> 13.549668, 100.274012</t>
  </si>
  <si>
    <t xml:space="preserve"> 18.781845, 98.977465</t>
  </si>
  <si>
    <t xml:space="preserve"> 18.781410, 98.988979</t>
  </si>
  <si>
    <t xml:space="preserve"> 18.787838, 98.993281</t>
  </si>
  <si>
    <t xml:space="preserve"> 18.781753, 98.981604</t>
  </si>
  <si>
    <t xml:space="preserve"> 15.119861,104.329218</t>
  </si>
  <si>
    <t xml:space="preserve"> 15.114461,104.327187</t>
  </si>
  <si>
    <t xml:space="preserve"> 13.349523,100.979894</t>
  </si>
  <si>
    <t xml:space="preserve"> 13.355632,100.982650</t>
  </si>
  <si>
    <t xml:space="preserve"> 14.888583,103.492613</t>
  </si>
  <si>
    <t xml:space="preserve"> 14.887044,103.494909</t>
  </si>
  <si>
    <t xml:space="preserve">  6.863359,101.256578</t>
  </si>
  <si>
    <t xml:space="preserve">  7.557911, 99.612621</t>
  </si>
  <si>
    <t xml:space="preserve">  7.542650, 99.615902</t>
  </si>
  <si>
    <t xml:space="preserve"> 13.538677, 99.817422</t>
  </si>
  <si>
    <t xml:space="preserve"> 13.754881,100.469424</t>
  </si>
  <si>
    <t xml:space="preserve"> 13.673170,100.538882</t>
  </si>
  <si>
    <t xml:space="preserve"> 13.750734,100.329172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</si>
</sst>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$-1070000]d/mm/yyyy;@"/>
    <numFmt numFmtId="188" formatCode="_-* #,##0_-;\-* #,##0_-;_-* &quot;-&quot;??_-;_-@_-"/>
  </numFmts>
  <fonts count="28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2"/>
      <color theme="1"/>
      <name val="TH Sarabun New"/>
      <family val="2"/>
    </font>
    <font>
      <sz val="10"/>
      <color theme="1"/>
      <name val="Leelawadee"/>
      <family val="2"/>
    </font>
    <font>
      <b/>
      <sz val="10"/>
      <color rgb="FFFF0000"/>
      <name val="Leelawadee"/>
      <family val="2"/>
    </font>
    <font>
      <b/>
      <sz val="10"/>
      <color rgb="FF0000FF"/>
      <name val="Leelawadee"/>
      <family val="2"/>
    </font>
    <font>
      <b/>
      <sz val="10"/>
      <color theme="0"/>
      <name val="Leelawadee"/>
      <family val="2"/>
    </font>
    <font>
      <b/>
      <sz val="10"/>
      <color rgb="FF006600"/>
      <name val="Leelawadee"/>
      <family val="2"/>
    </font>
    <font>
      <b/>
      <sz val="10"/>
      <color rgb="FF000099"/>
      <name val="Leelawadee"/>
      <family val="2"/>
    </font>
    <font>
      <sz val="10"/>
      <color rgb="FF0000FF"/>
      <name val="Leelawadee"/>
      <family val="2"/>
    </font>
    <font>
      <sz val="10"/>
      <color rgb="FFC00000"/>
      <name val="Leelawadee"/>
      <family val="2"/>
    </font>
    <font>
      <sz val="10"/>
      <color theme="0"/>
      <name val="Leelawadee"/>
      <family val="2"/>
    </font>
    <font>
      <sz val="12"/>
      <color rgb="FFFF0000"/>
      <name val="TH Sarabun New"/>
      <family val="2"/>
    </font>
    <font>
      <sz val="11"/>
      <color theme="1"/>
      <name val="Tahoma"/>
      <family val="2"/>
      <scheme val="minor"/>
    </font>
    <font>
      <sz val="12"/>
      <color theme="1"/>
      <name val="TH Sarabun New"/>
      <family val="2"/>
    </font>
    <font>
      <sz val="10"/>
      <color theme="1"/>
      <name val="Leelawadee"/>
      <family val="2"/>
    </font>
    <font>
      <b/>
      <sz val="10"/>
      <color rgb="FFFF0000"/>
      <name val="Leelawadee"/>
      <family val="2"/>
    </font>
    <font>
      <b/>
      <sz val="10"/>
      <color rgb="FF0000FF"/>
      <name val="Leelawadee"/>
      <family val="2"/>
    </font>
    <font>
      <sz val="10"/>
      <color theme="0"/>
      <name val="Leelawadee"/>
      <family val="2"/>
    </font>
    <font>
      <b/>
      <sz val="10"/>
      <color theme="0"/>
      <name val="Leelawadee"/>
      <family val="2"/>
    </font>
    <font>
      <b/>
      <sz val="10"/>
      <color rgb="FF006600"/>
      <name val="Leelawadee"/>
      <family val="2"/>
    </font>
    <font>
      <b/>
      <sz val="10"/>
      <color rgb="FF000099"/>
      <name val="Leelawadee"/>
      <family val="2"/>
    </font>
    <font>
      <sz val="10"/>
      <color rgb="FF0000FF"/>
      <name val="Leelawadee"/>
      <family val="2"/>
    </font>
    <font>
      <sz val="10"/>
      <color rgb="FFC00000"/>
      <name val="Leelawadee"/>
      <family val="2"/>
    </font>
    <font>
      <sz val="12"/>
      <color rgb="FFFF0000"/>
      <name val="TH Sarabun New"/>
      <family val="2"/>
    </font>
    <font>
      <b/>
      <sz val="9"/>
      <color rgb="FF7030A0"/>
      <name val="Leelawadee"/>
      <family val="2"/>
    </font>
    <font>
      <sz val="11"/>
      <color theme="1"/>
      <name val="Leelawadee"/>
      <family val="2"/>
    </font>
    <font>
      <sz val="10"/>
      <color rgb="FF6600FF"/>
      <name val="Leelawadee"/>
      <family val="2"/>
    </font>
  </fonts>
  <fills count="10">
    <fill>
      <patternFill patternType="none"/>
    </fill>
    <fill>
      <patternFill patternType="gray125"/>
    </fill>
    <fill>
      <patternFill patternType="solid">
        <fgColor rgb="FF000099"/>
        <bgColor indexed="64"/>
      </patternFill>
    </fill>
    <fill>
      <patternFill patternType="solid">
        <fgColor rgb="FF6600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9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/>
      <bottom/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</cellStyleXfs>
  <cellXfs count="95">
    <xf numFmtId="0" fontId="0" fillId="0" borderId="0" xfId="0"/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4" fontId="4" fillId="0" borderId="0" xfId="1" applyNumberFormat="1" applyFont="1" applyAlignment="1">
      <alignment horizontal="center" vertical="center"/>
    </xf>
    <xf numFmtId="3" fontId="5" fillId="0" borderId="0" xfId="1" applyNumberFormat="1" applyFont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8" fillId="4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 wrapText="1"/>
    </xf>
    <xf numFmtId="43" fontId="3" fillId="0" borderId="1" xfId="2" applyFont="1" applyFill="1" applyBorder="1" applyAlignment="1">
      <alignment horizontal="center" vertical="center"/>
    </xf>
    <xf numFmtId="1" fontId="3" fillId="0" borderId="1" xfId="2" applyNumberFormat="1" applyFont="1" applyFill="1" applyBorder="1" applyAlignment="1">
      <alignment horizontal="center" vertical="center"/>
    </xf>
    <xf numFmtId="187" fontId="9" fillId="0" borderId="2" xfId="1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left" vertical="center" wrapText="1"/>
    </xf>
    <xf numFmtId="43" fontId="10" fillId="0" borderId="1" xfId="2" applyFont="1" applyFill="1" applyBorder="1" applyAlignment="1">
      <alignment horizontal="center" vertical="center"/>
    </xf>
    <xf numFmtId="1" fontId="10" fillId="0" borderId="1" xfId="2" applyNumberFormat="1" applyFont="1" applyFill="1" applyBorder="1" applyAlignment="1">
      <alignment horizontal="center" vertical="center"/>
    </xf>
    <xf numFmtId="187" fontId="10" fillId="0" borderId="2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7" fillId="5" borderId="1" xfId="1" quotePrefix="1" applyFont="1" applyFill="1" applyBorder="1" applyAlignment="1">
      <alignment horizontal="center" vertical="center" wrapText="1"/>
    </xf>
    <xf numFmtId="0" fontId="11" fillId="6" borderId="0" xfId="1" applyFont="1" applyFill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2" fillId="7" borderId="0" xfId="1" applyFont="1" applyFill="1" applyAlignment="1">
      <alignment horizontal="center" vertical="center"/>
    </xf>
    <xf numFmtId="0" fontId="11" fillId="6" borderId="0" xfId="1" applyFont="1" applyFill="1" applyAlignment="1">
      <alignment horizontal="left" vertical="center"/>
    </xf>
    <xf numFmtId="0" fontId="8" fillId="4" borderId="1" xfId="1" applyFont="1" applyFill="1" applyBorder="1" applyAlignment="1">
      <alignment horizontal="left" vertical="center" wrapText="1"/>
    </xf>
    <xf numFmtId="43" fontId="3" fillId="0" borderId="1" xfId="2" applyFont="1" applyFill="1" applyBorder="1" applyAlignment="1">
      <alignment horizontal="left" vertical="center"/>
    </xf>
    <xf numFmtId="43" fontId="3" fillId="0" borderId="1" xfId="2" applyFont="1" applyFill="1" applyBorder="1" applyAlignment="1">
      <alignment horizontal="left" vertical="center" wrapText="1"/>
    </xf>
    <xf numFmtId="9" fontId="3" fillId="0" borderId="0" xfId="1" applyNumberFormat="1" applyFont="1" applyAlignment="1">
      <alignment horizontal="center" vertical="center"/>
    </xf>
    <xf numFmtId="43" fontId="3" fillId="0" borderId="0" xfId="3" applyFont="1" applyAlignment="1">
      <alignment horizontal="left" vertical="center"/>
    </xf>
    <xf numFmtId="0" fontId="14" fillId="0" borderId="0" xfId="1" applyFont="1" applyAlignment="1">
      <alignment horizontal="center" vertical="center"/>
    </xf>
    <xf numFmtId="0" fontId="14" fillId="0" borderId="0" xfId="1" applyFont="1" applyAlignment="1">
      <alignment horizontal="left" vertical="center"/>
    </xf>
    <xf numFmtId="9" fontId="15" fillId="0" borderId="0" xfId="1" applyNumberFormat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43" fontId="15" fillId="0" borderId="0" xfId="3" applyFont="1" applyAlignment="1">
      <alignment horizontal="left" vertical="center"/>
    </xf>
    <xf numFmtId="4" fontId="16" fillId="0" borderId="0" xfId="1" applyNumberFormat="1" applyFont="1" applyAlignment="1">
      <alignment horizontal="center" vertical="center"/>
    </xf>
    <xf numFmtId="3" fontId="17" fillId="0" borderId="0" xfId="1" applyNumberFormat="1" applyFont="1" applyAlignment="1">
      <alignment horizontal="center" vertical="center"/>
    </xf>
    <xf numFmtId="0" fontId="15" fillId="0" borderId="0" xfId="1" applyFont="1" applyAlignment="1">
      <alignment horizontal="left" vertical="center"/>
    </xf>
    <xf numFmtId="0" fontId="18" fillId="6" borderId="0" xfId="1" applyFont="1" applyFill="1" applyAlignment="1">
      <alignment horizontal="left" vertical="center"/>
    </xf>
    <xf numFmtId="0" fontId="18" fillId="6" borderId="0" xfId="1" applyFont="1" applyFill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19" fillId="2" borderId="1" xfId="1" applyFont="1" applyFill="1" applyBorder="1" applyAlignment="1">
      <alignment horizontal="center" vertical="center"/>
    </xf>
    <xf numFmtId="0" fontId="19" fillId="2" borderId="1" xfId="1" applyFont="1" applyFill="1" applyBorder="1" applyAlignment="1">
      <alignment horizontal="center" vertical="center" wrapText="1"/>
    </xf>
    <xf numFmtId="0" fontId="19" fillId="3" borderId="1" xfId="1" applyFont="1" applyFill="1" applyBorder="1" applyAlignment="1">
      <alignment horizontal="center" vertical="center"/>
    </xf>
    <xf numFmtId="0" fontId="19" fillId="3" borderId="1" xfId="1" applyFont="1" applyFill="1" applyBorder="1" applyAlignment="1">
      <alignment horizontal="center" vertical="center" wrapText="1"/>
    </xf>
    <xf numFmtId="0" fontId="20" fillId="5" borderId="1" xfId="1" applyFont="1" applyFill="1" applyBorder="1" applyAlignment="1">
      <alignment horizontal="center" vertical="center" wrapText="1"/>
    </xf>
    <xf numFmtId="0" fontId="21" fillId="4" borderId="1" xfId="1" applyFont="1" applyFill="1" applyBorder="1" applyAlignment="1">
      <alignment horizontal="left" vertical="center" wrapText="1"/>
    </xf>
    <xf numFmtId="0" fontId="21" fillId="4" borderId="1" xfId="1" applyFont="1" applyFill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/>
    </xf>
    <xf numFmtId="0" fontId="15" fillId="0" borderId="1" xfId="1" applyFont="1" applyBorder="1" applyAlignment="1">
      <alignment horizontal="left" vertical="center" wrapText="1"/>
    </xf>
    <xf numFmtId="43" fontId="15" fillId="0" borderId="1" xfId="2" applyFont="1" applyBorder="1" applyAlignment="1">
      <alignment horizontal="center" vertical="center"/>
    </xf>
    <xf numFmtId="1" fontId="15" fillId="0" borderId="1" xfId="2" applyNumberFormat="1" applyFont="1" applyBorder="1" applyAlignment="1">
      <alignment horizontal="center" vertical="center"/>
    </xf>
    <xf numFmtId="187" fontId="22" fillId="0" borderId="2" xfId="1" applyNumberFormat="1" applyFont="1" applyBorder="1" applyAlignment="1">
      <alignment horizontal="center" vertical="center"/>
    </xf>
    <xf numFmtId="0" fontId="23" fillId="0" borderId="1" xfId="1" applyFont="1" applyBorder="1" applyAlignment="1">
      <alignment horizontal="center" vertical="center"/>
    </xf>
    <xf numFmtId="0" fontId="23" fillId="0" borderId="1" xfId="1" applyFont="1" applyBorder="1" applyAlignment="1">
      <alignment horizontal="left" vertical="center" wrapText="1"/>
    </xf>
    <xf numFmtId="43" fontId="23" fillId="0" borderId="1" xfId="2" applyFont="1" applyBorder="1" applyAlignment="1">
      <alignment horizontal="center" vertical="center"/>
    </xf>
    <xf numFmtId="1" fontId="23" fillId="0" borderId="1" xfId="2" applyNumberFormat="1" applyFont="1" applyBorder="1" applyAlignment="1">
      <alignment horizontal="center" vertical="center"/>
    </xf>
    <xf numFmtId="187" fontId="23" fillId="0" borderId="2" xfId="1" applyNumberFormat="1" applyFont="1" applyBorder="1" applyAlignment="1">
      <alignment horizontal="center" vertical="center"/>
    </xf>
    <xf numFmtId="1" fontId="22" fillId="0" borderId="1" xfId="2" applyNumberFormat="1" applyFont="1" applyBorder="1" applyAlignment="1">
      <alignment horizontal="center" vertical="center"/>
    </xf>
    <xf numFmtId="43" fontId="22" fillId="0" borderId="1" xfId="2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 wrapText="1"/>
    </xf>
    <xf numFmtId="0" fontId="24" fillId="7" borderId="0" xfId="1" applyFont="1" applyFill="1" applyAlignment="1">
      <alignment horizontal="center" vertical="center"/>
    </xf>
    <xf numFmtId="0" fontId="20" fillId="5" borderId="1" xfId="1" quotePrefix="1" applyFont="1" applyFill="1" applyBorder="1" applyAlignment="1">
      <alignment horizontal="center" vertical="center" wrapText="1"/>
    </xf>
    <xf numFmtId="43" fontId="14" fillId="0" borderId="0" xfId="3" applyFont="1" applyAlignment="1">
      <alignment horizontal="center" vertical="center"/>
    </xf>
    <xf numFmtId="1" fontId="3" fillId="7" borderId="1" xfId="2" applyNumberFormat="1" applyFont="1" applyFill="1" applyBorder="1" applyAlignment="1">
      <alignment horizontal="center" vertical="center"/>
    </xf>
    <xf numFmtId="43" fontId="3" fillId="7" borderId="1" xfId="2" applyFont="1" applyFill="1" applyBorder="1" applyAlignment="1">
      <alignment horizontal="center" vertical="center"/>
    </xf>
    <xf numFmtId="1" fontId="3" fillId="0" borderId="1" xfId="2" applyNumberFormat="1" applyFont="1" applyBorder="1" applyAlignment="1">
      <alignment horizontal="center" vertical="center"/>
    </xf>
    <xf numFmtId="0" fontId="25" fillId="8" borderId="3" xfId="3" applyNumberFormat="1" applyFont="1" applyFill="1" applyBorder="1" applyAlignment="1">
      <alignment horizontal="center" vertical="center" wrapText="1"/>
    </xf>
    <xf numFmtId="188" fontId="15" fillId="0" borderId="1" xfId="2" applyNumberFormat="1" applyFont="1" applyBorder="1" applyAlignment="1">
      <alignment horizontal="center" vertical="center"/>
    </xf>
    <xf numFmtId="188" fontId="17" fillId="0" borderId="0" xfId="1" applyNumberFormat="1" applyFont="1" applyAlignment="1">
      <alignment horizontal="center" vertical="center"/>
    </xf>
    <xf numFmtId="188" fontId="18" fillId="6" borderId="0" xfId="1" applyNumberFormat="1" applyFont="1" applyFill="1" applyAlignment="1">
      <alignment horizontal="center" vertical="center"/>
    </xf>
    <xf numFmtId="188" fontId="25" fillId="8" borderId="1" xfId="3" applyNumberFormat="1" applyFont="1" applyFill="1" applyBorder="1" applyAlignment="1">
      <alignment horizontal="center" vertical="center" wrapText="1"/>
    </xf>
    <xf numFmtId="188" fontId="25" fillId="8" borderId="4" xfId="3" applyNumberFormat="1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88" fontId="0" fillId="0" borderId="0" xfId="0" applyNumberFormat="1"/>
    <xf numFmtId="0" fontId="0" fillId="0" borderId="0" xfId="0" applyAlignment="1">
      <alignment horizontal="center" vertical="center"/>
    </xf>
    <xf numFmtId="0" fontId="0" fillId="0" borderId="5" xfId="0" applyBorder="1"/>
    <xf numFmtId="0" fontId="0" fillId="7" borderId="0" xfId="0" applyFill="1"/>
    <xf numFmtId="0" fontId="0" fillId="7" borderId="5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43" fontId="0" fillId="0" borderId="0" xfId="3" applyFont="1"/>
    <xf numFmtId="0" fontId="26" fillId="0" borderId="0" xfId="0" applyFont="1"/>
    <xf numFmtId="0" fontId="26" fillId="0" borderId="0" xfId="0" applyFont="1" applyAlignment="1">
      <alignment horizontal="center" vertical="center"/>
    </xf>
    <xf numFmtId="43" fontId="26" fillId="0" borderId="0" xfId="3" applyFont="1"/>
    <xf numFmtId="0" fontId="26" fillId="7" borderId="0" xfId="0" applyFont="1" applyFill="1" applyAlignment="1">
      <alignment horizontal="center" vertical="center"/>
    </xf>
    <xf numFmtId="43" fontId="27" fillId="0" borderId="1" xfId="2" applyFont="1" applyBorder="1" applyAlignment="1">
      <alignment horizontal="center" vertical="center"/>
    </xf>
    <xf numFmtId="0" fontId="15" fillId="9" borderId="1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43" fontId="10" fillId="0" borderId="1" xfId="2" applyFont="1" applyBorder="1" applyAlignment="1">
      <alignment horizontal="center" vertical="center"/>
    </xf>
  </cellXfs>
  <cellStyles count="4">
    <cellStyle name="Comma" xfId="3" builtinId="3"/>
    <cellStyle name="Comma 2" xfId="2" xr:uid="{1A5751BD-01E0-4325-9F1E-AD602D411890}"/>
    <cellStyle name="Normal" xfId="0" builtinId="0"/>
    <cellStyle name="Normal 2" xfId="1" xr:uid="{CC2E264F-4759-4FBA-A138-AF7DDFA016E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FF"/>
      <color rgb="FF6600FF"/>
      <color rgb="FF0033CC"/>
      <color rgb="FF006600"/>
      <color rgb="FF0000FF"/>
      <color rgb="FF000099"/>
      <color rgb="FF66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non" id="{5B11F434-98CF-4EE2-BBD4-04D675C792A3}">
    <nsvFilter filterId="{CF0387AD-5C38-4694-BEAC-701C18F40BE6}" ref="A3:Y175" tableId="0">
      <columnFilter colId="7">
        <filter colId="7">
          <x:filters>
            <x:filter val="HYI"/>
          </x:filters>
        </filter>
      </columnFilter>
    </nsvFilter>
  </namedSheetView>
  <namedSheetView name="Keng" id="{5A9E5947-D586-4F8C-9D58-CD1BC146A897}">
    <nsvFilter filterId="{CF0387AD-5C38-4694-BEAC-701C18F40BE6}" ref="A3:Y175" tableId="0">
      <columnFilter colId="7">
        <filter colId="7">
          <x:filters>
            <x:filter val="CMI"/>
            <x:filter val="KKN"/>
            <x:filter val="NMA"/>
            <x:filter val="PLK"/>
            <x:filter val="UBN"/>
            <x:filter val="UDN"/>
          </x:filters>
        </filter>
      </columnFilter>
    </nsvFilter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non" id="{FCD31C6B-4AC8-4D3A-B7C3-FEDBB77D2655}">
    <nsvFilter filterId="{CF0387AD-5C38-4694-BEAC-701C18F40BE6}" ref="A3:AH175" tableId="0">
      <columnFilter colId="7">
        <filter colId="7">
          <x:filters>
            <x:filter val="HYI"/>
          </x:filters>
        </filter>
      </columnFilter>
    </nsvFilter>
  </namedSheetView>
  <namedSheetView name="Keng" id="{7AF6D4CB-B5DD-49F8-8213-9D16B94A83A3}">
    <nsvFilter filterId="{CF0387AD-5C38-4694-BEAC-701C18F40BE6}" ref="A3:AH175" tableId="0">
      <columnFilter colId="7">
        <filter colId="7">
          <x:filters>
            <x:filter val="CMI"/>
            <x:filter val="KKN"/>
            <x:filter val="NMA"/>
            <x:filter val="PLK"/>
            <x:filter val="UBN"/>
            <x:filter val="UDN"/>
          </x:filters>
        </filter>
      </columnFilter>
    </nsvFilter>
  </namedSheetView>
</namedSheetView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knarin Ponsaeng" refreshedDate="46213.771434490744" createdVersion="8" refreshedVersion="8" minRefreshableVersion="3" recordCount="172" xr:uid="{32D503A9-2D3A-487F-A25F-17B8405C9ABB}">
  <cacheSource type="worksheet">
    <worksheetSource ref="A3:AH175" sheet="UG_NBT y2569-2571 (mat)"/>
  </cacheSource>
  <cacheFields count="34">
    <cacheField name="ลำดับ" numFmtId="0">
      <sharedItems containsSemiMixedTypes="0" containsString="0" containsNumber="1" containsInteger="1" minValue="1" maxValue="172"/>
    </cacheField>
    <cacheField name="พื้นที่" numFmtId="0">
      <sharedItems/>
    </cacheField>
    <cacheField name="จังหวัด" numFmtId="0">
      <sharedItems/>
    </cacheField>
    <cacheField name="หักเสา" numFmtId="0">
      <sharedItems/>
    </cacheField>
    <cacheField name="รหัสเส้นทาง" numFmtId="0">
      <sharedItems/>
    </cacheField>
    <cacheField name="เส้นทาง" numFmtId="0">
      <sharedItems/>
    </cacheField>
    <cacheField name="ระยะท่อ_x000a_(กม.)" numFmtId="43">
      <sharedItems containsSemiMixedTypes="0" containsString="0" containsNumber="1" minValue="0.3" maxValue="24"/>
    </cacheField>
    <cacheField name="UIH SC" numFmtId="1">
      <sharedItems/>
    </cacheField>
    <cacheField name="Year plan" numFmtId="1">
      <sharedItems containsSemiMixedTypes="0" containsString="0" containsNumber="1" containsInteger="1" minValue="2569" maxValue="2571"/>
    </cacheField>
    <cacheField name="แผนท่อเสร็จ" numFmtId="187">
      <sharedItems containsDate="1" containsBlank="1" containsMixedTypes="1" minDate="2025-01-01T00:00:00" maxDate="2028-01-01T00:00:00"/>
    </cacheField>
    <cacheField name="เริ่มตัด" numFmtId="187">
      <sharedItems containsDate="1" containsBlank="1" containsMixedTypes="1" minDate="2026-02-11T00:00:00" maxDate="2028-08-01T00:00:00"/>
    </cacheField>
    <cacheField name="Status UIH" numFmtId="0">
      <sharedItems/>
    </cacheField>
    <cacheField name="Solution_x000a_(plan)" numFmtId="1">
      <sharedItems/>
    </cacheField>
    <cacheField name="Fiber Sharing" numFmtId="0">
      <sharedItems containsBlank="1"/>
    </cacheField>
    <cacheField name="CAPEX_x000a_(estimate)" numFmtId="43">
      <sharedItems containsString="0" containsBlank="1" containsNumber="1" minValue="0" maxValue="5051985.2531428598"/>
    </cacheField>
    <cacheField name="OPEX/year_x000a_(estimate)" numFmtId="43">
      <sharedItems containsString="0" containsBlank="1" containsNumber="1" minValue="0" maxValue="2417417.1428571399"/>
    </cacheField>
    <cacheField name="Budget of work" numFmtId="43">
      <sharedItems/>
    </cacheField>
    <cacheField name="พิกัดต้นทาง" numFmtId="43">
      <sharedItems/>
    </cacheField>
    <cacheField name="พิกัดปลายทาง" numFmtId="43">
      <sharedItems/>
    </cacheField>
    <cacheField name="OFC Type (A+B)" numFmtId="43">
      <sharedItems/>
    </cacheField>
    <cacheField name="12C" numFmtId="43">
      <sharedItems containsString="0" containsBlank="1" containsNumber="1" minValue="0.44" maxValue="3.3"/>
    </cacheField>
    <cacheField name="24C" numFmtId="43">
      <sharedItems containsString="0" containsBlank="1" containsNumber="1" minValue="0.3" maxValue="5.5"/>
    </cacheField>
    <cacheField name="60C" numFmtId="43">
      <sharedItems containsString="0" containsBlank="1" containsNumber="1" minValue="0.32999999999999996" maxValue="15.399999999999999"/>
    </cacheField>
    <cacheField name="144C" numFmtId="43">
      <sharedItems containsString="0" containsBlank="1" containsNumber="1" minValue="0.44" maxValue="18.3"/>
    </cacheField>
    <cacheField name="216C" numFmtId="43">
      <sharedItems containsString="0" containsBlank="1" containsNumber="1" minValue="2.1999999999999997" maxValue="7.26"/>
    </cacheField>
    <cacheField name="Enclosure 12C/24C" numFmtId="188">
      <sharedItems containsSemiMixedTypes="0" containsString="0" containsNumber="1" containsInteger="1" minValue="0" maxValue="9"/>
    </cacheField>
    <cacheField name="Enclosure 60C" numFmtId="0">
      <sharedItems containsSemiMixedTypes="0" containsString="0" containsNumber="1" containsInteger="1" minValue="0" maxValue="8"/>
    </cacheField>
    <cacheField name="Enclosure 144C" numFmtId="0">
      <sharedItems containsSemiMixedTypes="0" containsString="0" containsNumber="1" containsInteger="1" minValue="0" maxValue="8"/>
    </cacheField>
    <cacheField name="Enclosure 312C" numFmtId="0">
      <sharedItems containsSemiMixedTypes="0" containsString="0" containsNumber="1" containsInteger="1" minValue="0" maxValue="8"/>
    </cacheField>
    <cacheField name="(A)ระยะลงท่อ_x000a_(km)" numFmtId="43">
      <sharedItems containsSemiMixedTypes="0" containsString="0" containsNumber="1" minValue="0" maxValue="15.389999999999999"/>
    </cacheField>
    <cacheField name="(B) ระยะบนเสาไฟฟ้า_x000a_(km)" numFmtId="43">
      <sharedItems containsSemiMixedTypes="0" containsString="0" containsNumber="1" minValue="0" maxValue="13"/>
    </cacheField>
    <cacheField name="(A)+(B) ระยะรวม_x000a_(km)" numFmtId="43">
      <sharedItems containsSemiMixedTypes="0" containsString="0" containsNumber="1" minValue="0" maxValue="18.3"/>
    </cacheField>
    <cacheField name="ปีที่ใช้งบประมาณ" numFmtId="1">
      <sharedItems containsMixedTypes="1" containsNumber="1" containsInteger="1" minValue="2567" maxValue="2571" count="6">
        <n v="2568"/>
        <n v="2569"/>
        <s v="n/a"/>
        <n v="2567"/>
        <n v="2570"/>
        <n v="2571"/>
      </sharedItems>
    </cacheField>
    <cacheField name="ไตรมาสที่ใช้งบประมาณ" numFmtId="43">
      <sharedItems count="5">
        <s v="Q3"/>
        <s v="Q4"/>
        <s v="Q2"/>
        <s v="Q1"/>
        <s v="n/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">
  <r>
    <n v="1"/>
    <s v="กรุงเทพมหานครและปริมณฑล"/>
    <s v="กรุงเทพมหานคร"/>
    <s v="หักเสาไฟฟ้า"/>
    <s v="UG66/MSN/0005"/>
    <s v="ถนนอังรีดูนังด์(พระรามที่ 1 -พระรามที่ 4)"/>
    <n v="3.6"/>
    <s v="BKK4"/>
    <n v="2569"/>
    <s v="เสร็จแล้ว"/>
    <s v="ตัดแล้ว"/>
    <s v="Done"/>
    <s v="ลงใต้ดิน"/>
    <s v="yes"/>
    <n v="574206.00333333295"/>
    <n v="185280"/>
    <s v="Approved"/>
    <s v="13.730941310301457, 100.53364854197581"/>
    <s v="13.745285309076259, 100.53588236120147"/>
    <s v="144C"/>
    <m/>
    <m/>
    <m/>
    <n v="3.96"/>
    <m/>
    <n v="0"/>
    <n v="0"/>
    <n v="7"/>
    <n v="0"/>
    <n v="3.42"/>
    <n v="0.54"/>
    <n v="3.96"/>
    <x v="0"/>
    <x v="0"/>
  </r>
  <r>
    <n v="2"/>
    <s v="กรุงเทพมหานครและปริมณฑล"/>
    <s v="กรุงเทพมหานคร"/>
    <s v="หักเสาไฟฟ้า"/>
    <s v="UG66/MSN/0001"/>
    <s v="ถนนจรัญสนิทวงศ์ ช่วงที่ 2 (แยกบางพลัด - ถนนบรมราชชนนี)"/>
    <n v="3.7"/>
    <s v="BKK1"/>
    <n v="2569"/>
    <d v="2025-01-01T00:00:00"/>
    <d v="2026-02-28T00:00:00"/>
    <s v="Done"/>
    <s v="ลงใต้ดิน"/>
    <s v="yes"/>
    <n v="920982.5763208993"/>
    <n v="495000"/>
    <s v="Approved"/>
    <s v="13.784568460507492, 100.49439125627126"/>
    <s v="13.773351404499168, 100.48190426894638"/>
    <s v="144C"/>
    <m/>
    <m/>
    <m/>
    <n v="4.07"/>
    <m/>
    <n v="0"/>
    <n v="0"/>
    <n v="8"/>
    <n v="0"/>
    <n v="3.5150000000000001"/>
    <n v="0.55500000000000005"/>
    <n v="4.07"/>
    <x v="0"/>
    <x v="1"/>
  </r>
  <r>
    <n v="3"/>
    <s v="กรุงเทพมหานครและปริมณฑล"/>
    <s v="กรุงเทพมหานคร"/>
    <s v="ไม่หักเสาไฟฟ้า"/>
    <s v="UG66/OTH/0018"/>
    <s v="ถนนเยาวราช โซนที่ 5 (2 ฝั่งถนน) (ถนนทรงสวัสดิ์ - ซุ้มประตูเฉลิมพระเกียรติ 6 รอบพระชนมพรรษา)"/>
    <n v="0.6"/>
    <s v="BKK4"/>
    <n v="2569"/>
    <d v="2025-02-28T00:00:00"/>
    <d v="2026-02-11T00:00:00"/>
    <s v="Done"/>
    <s v="ลงใต้ดิน"/>
    <s v="yes"/>
    <n v="126596.98036363638"/>
    <n v="36775.271999999997"/>
    <s v="Approved"/>
    <s v="13.739407567111556, 100.51147056044779"/>
    <s v="13.737353625608659, 100.51294350981958"/>
    <s v="60C"/>
    <m/>
    <m/>
    <n v="0.65999999999999992"/>
    <m/>
    <m/>
    <n v="0"/>
    <n v="3"/>
    <n v="0"/>
    <n v="0"/>
    <n v="0.56999999999999995"/>
    <n v="0.09"/>
    <n v="0.65999999999999992"/>
    <x v="0"/>
    <x v="1"/>
  </r>
  <r>
    <n v="4"/>
    <s v="กรุงเทพมหานครและปริมณฑล"/>
    <s v="กรุงเทพมหานคร"/>
    <s v="หักเสาไฟฟ้า"/>
    <s v="UG68/MSN/0004"/>
    <s v="ถนนประชาราษฎร์ สาย 2 (2 ฝั่งถนน) (แยกบางโพ - แม่น้ำเจ้าพระยา)"/>
    <n v="0.5"/>
    <s v="BKK2"/>
    <n v="2569"/>
    <d v="2025-05-31T00:00:00"/>
    <d v="2026-03-10T00:00:00"/>
    <s v="Done"/>
    <s v="ลงใต้ดิน"/>
    <s v="yes"/>
    <n v="28750"/>
    <n v="14036.363636363636"/>
    <s v="Approved"/>
    <s v="13.80636889371856, 100.52158110006106"/>
    <s v="13.806316740574633, 100.51924673175483"/>
    <s v="60C"/>
    <m/>
    <m/>
    <n v="0.54999999999999993"/>
    <m/>
    <m/>
    <n v="0"/>
    <n v="3"/>
    <n v="0"/>
    <n v="0"/>
    <n v="0.47499999999999998"/>
    <n v="7.4999999999999997E-2"/>
    <n v="0.54999999999999993"/>
    <x v="1"/>
    <x v="2"/>
  </r>
  <r>
    <n v="5"/>
    <s v="กรุงเทพมหานครและปริมณฑล"/>
    <s v="กรุงเทพมหานคร"/>
    <s v="หักเสาไฟฟ้า"/>
    <s v="UG67/MSN/0001"/>
    <s v="ถนนประชาราษฎร์ สาย 2 (2 ฝั่งถนน) (แยกประชาชื่น - แยกบางโพ)"/>
    <n v="2.8"/>
    <s v="BKK2"/>
    <n v="2569"/>
    <d v="2025-05-31T00:00:00"/>
    <d v="2026-02-24T00:00:00"/>
    <s v="Done"/>
    <s v="ลงใต้ดิน"/>
    <s v="yes"/>
    <n v="161000"/>
    <n v="78603.636363636368"/>
    <s v="Approved"/>
    <s v="13.805650769000955, 100.5332038528518"/>
    <s v="13.80636889371856, 100.52158110006106"/>
    <s v="60C"/>
    <m/>
    <m/>
    <n v="3.0799999999999996"/>
    <m/>
    <m/>
    <n v="0"/>
    <n v="7"/>
    <n v="0"/>
    <n v="0"/>
    <n v="2.6599999999999997"/>
    <n v="0.42"/>
    <n v="3.0799999999999996"/>
    <x v="1"/>
    <x v="2"/>
  </r>
  <r>
    <n v="6"/>
    <s v="กรุงเทพมหานครและปริมณฑล"/>
    <s v="กรุงเทพมหานคร"/>
    <s v="หักเสาไฟฟ้า"/>
    <s v="UG66/MSN/0003"/>
    <s v="ถนนจรัญสนิทวงศ์ ช่วงที่ 2 (2 ฝั่งถนน) (ถนนบรมราชชนนี - ถนนสุทธาวาส)"/>
    <n v="3"/>
    <s v="BKK1"/>
    <n v="2569"/>
    <d v="2025-01-01T00:00:00"/>
    <d v="2026-03-30T00:00:00"/>
    <s v="Done"/>
    <s v="ลงใต้ดิน"/>
    <s v="yes"/>
    <n v="637974.77417475719"/>
    <n v="313671.84466019413"/>
    <s v="Approved"/>
    <s v="13.773351404499168, 100.48190426894638"/>
    <s v="13.762829108215561, 100.47280943699901"/>
    <s v="60C"/>
    <m/>
    <m/>
    <n v="3.3"/>
    <m/>
    <m/>
    <n v="0"/>
    <n v="7"/>
    <n v="0"/>
    <n v="0"/>
    <n v="2.8499999999999996"/>
    <n v="0.44999999999999996"/>
    <n v="3.3"/>
    <x v="0"/>
    <x v="3"/>
  </r>
  <r>
    <n v="7"/>
    <s v="กรุงเทพมหานครและปริมณฑล"/>
    <s v="กรุงเทพมหานคร"/>
    <s v="ไม่หักเสาไฟฟ้า"/>
    <s v="UG65/OTH/0001"/>
    <s v="ถนนมหาราช (2 ฝั่งถนน) (ถนนหน้าพระลาน - ถนนพระจันทร์)"/>
    <n v="1"/>
    <s v="BKK4"/>
    <n v="2569"/>
    <d v="2025-02-28T00:00:00"/>
    <d v="2026-03-31T00:00:00"/>
    <s v="n/a"/>
    <s v="ไม่มีโครงข่าย"/>
    <s v="no"/>
    <n v="0"/>
    <n v="0"/>
    <s v="n/a"/>
    <s v="13.752349559081285, 100.48952032574502"/>
    <s v="13.756307989636536, 100.48963246494628"/>
    <s v="n/a"/>
    <m/>
    <m/>
    <m/>
    <m/>
    <m/>
    <n v="0"/>
    <n v="0"/>
    <n v="0"/>
    <n v="0"/>
    <n v="0"/>
    <n v="0"/>
    <n v="0"/>
    <x v="2"/>
    <x v="4"/>
  </r>
  <r>
    <n v="8"/>
    <s v="กรุงเทพมหานครและปริมณฑล"/>
    <s v="กรุงเทพมหานคร"/>
    <s v="ไม่หักเสาไฟฟ้า"/>
    <s v="UG66/OTH/0013"/>
    <s v="ถนนดินสอ (2 ฝั่งถนน) (ถนนราชดำเนินกลาง - ถนนบำรุงเมือง)"/>
    <n v="1"/>
    <s v="BKK4"/>
    <n v="2569"/>
    <d v="2025-02-28T00:00:00"/>
    <d v="2026-03-31T00:00:00"/>
    <s v="n/a"/>
    <s v="ไม่มีโครงข่าย"/>
    <s v="no"/>
    <n v="0"/>
    <n v="0"/>
    <s v="n/a"/>
    <s v="13.756336780416937, 100.50172473113246"/>
    <s v="13.751996814090212, 100.50091911156224"/>
    <s v="n/a"/>
    <m/>
    <m/>
    <m/>
    <m/>
    <m/>
    <n v="0"/>
    <n v="0"/>
    <n v="0"/>
    <n v="0"/>
    <n v="0"/>
    <n v="0"/>
    <n v="0"/>
    <x v="2"/>
    <x v="4"/>
  </r>
  <r>
    <n v="9"/>
    <s v="กรุงเทพมหานครและปริมณฑล"/>
    <s v="กรุงเทพมหานคร"/>
    <s v="ไม่หักเสาไฟฟ้า"/>
    <s v="UG67/OTH/0007"/>
    <s v="ถนนพระจันทร์ (2 ฝั่งถนน) (ถนนมหาราช - ถนนหน้าพระธาตุ)"/>
    <n v="0.6"/>
    <s v="BKK4"/>
    <n v="2569"/>
    <d v="2025-02-28T00:00:00"/>
    <d v="2026-03-31T00:00:00"/>
    <s v="n/a"/>
    <s v="ไม่มีโครงข่าย"/>
    <s v="no"/>
    <n v="0"/>
    <n v="0"/>
    <s v="n/a"/>
    <s v="13.756315478100502, 100.48962466125836"/>
    <s v="13.755464330915798, 100.49212710949539"/>
    <s v="n/a"/>
    <m/>
    <m/>
    <m/>
    <m/>
    <m/>
    <n v="0"/>
    <n v="0"/>
    <n v="0"/>
    <n v="0"/>
    <n v="0"/>
    <n v="0"/>
    <n v="0"/>
    <x v="2"/>
    <x v="4"/>
  </r>
  <r>
    <n v="10"/>
    <s v="กรุงเทพมหานครและปริมณฑล"/>
    <s v="กรุงเทพมหานคร"/>
    <s v="ไม่หักเสาไฟฟ้า"/>
    <s v="UG67/OTH/0008"/>
    <s v="ถนนศิริพงษ์ (รอบศาลาว่าการ กทม.) (1 ฝั่งถนน) (ถนนดินสอ - ถนนบำรุงเมือง)"/>
    <n v="0.4"/>
    <s v="BKK4"/>
    <n v="2569"/>
    <d v="2025-02-28T00:00:00"/>
    <d v="2026-03-31T00:00:00"/>
    <s v="Done"/>
    <s v="Re-route"/>
    <s v="no"/>
    <n v="32500"/>
    <n v="0"/>
    <s v="Approved"/>
    <s v="13.754652717659106, 100.50137705611867"/>
    <s v="13.751914974521213, 100.50199713785821"/>
    <s v="12C"/>
    <n v="0.44"/>
    <m/>
    <m/>
    <m/>
    <m/>
    <n v="2"/>
    <n v="0"/>
    <n v="0"/>
    <n v="0"/>
    <n v="0.38"/>
    <n v="0.06"/>
    <n v="0.44"/>
    <x v="0"/>
    <x v="1"/>
  </r>
  <r>
    <n v="11"/>
    <s v="กรุงเทพมหานครและปริมณฑล"/>
    <s v="กรุงเทพมหานคร"/>
    <s v="ไม่หักเสาไฟฟ้า"/>
    <s v="UG66/OTH/0017"/>
    <s v="ถนนเยาวราช โซนที่ 4 ฝั่งใต้ (1 ฝั่งถนน) (ถนนราชวงศ์ - ถนนทรงสวัสดิ์)"/>
    <n v="0.6"/>
    <s v="BKK4"/>
    <n v="2569"/>
    <d v="2025-02-28T00:00:00"/>
    <d v="2026-02-11T00:00:00"/>
    <s v="Onprocess"/>
    <s v="ลงใต้ดิน"/>
    <s v="yes"/>
    <n v="126596.98036363638"/>
    <n v="36775.271999999997"/>
    <s v="Approved"/>
    <s v="13.742290754376612, 100.50694991095189"/>
    <s v="13.739396707790819, 100.5113779307246"/>
    <s v="60C"/>
    <m/>
    <m/>
    <n v="0.65999999999999992"/>
    <m/>
    <m/>
    <n v="0"/>
    <n v="3"/>
    <n v="0"/>
    <n v="0"/>
    <n v="0.56999999999999995"/>
    <n v="0.09"/>
    <n v="0.65999999999999992"/>
    <x v="0"/>
    <x v="1"/>
  </r>
  <r>
    <n v="12"/>
    <s v="กรุงเทพมหานครและปริมณฑล"/>
    <s v="กรุงเทพมหานคร"/>
    <s v="หักเสาไฟฟ้า"/>
    <s v="UG67/MSN/0005"/>
    <s v="ถนนลาดพร้าว ช่วงที่ 2 (2 ฝั่งถนน) (ถนนรัชดาภิเษก - ถนนประดิษฐมนูธรรม)"/>
    <n v="8.4"/>
    <s v="BKK2"/>
    <n v="2569"/>
    <d v="2025-10-31T00:00:00"/>
    <d v="2026-04-30T00:00:00"/>
    <s v="Done"/>
    <s v="ลงใต้ดิน"/>
    <s v="yes"/>
    <n v="875435.26"/>
    <n v="296626.15384615387"/>
    <s v="Approved"/>
    <s v="13.805411917542347, 100.57495144377492"/>
    <s v="13.786437316477445, 100.60875437077863"/>
    <s v="144C"/>
    <m/>
    <m/>
    <m/>
    <n v="9.24"/>
    <m/>
    <n v="0"/>
    <n v="0"/>
    <n v="8"/>
    <n v="0"/>
    <n v="7.9799999999999995"/>
    <n v="1.26"/>
    <n v="9.24"/>
    <x v="0"/>
    <x v="1"/>
  </r>
  <r>
    <n v="13"/>
    <s v="กรุงเทพมหานครและปริมณฑล"/>
    <s v="กรุงเทพมหานคร"/>
    <s v="ไม่หักเสาไฟฟ้า"/>
    <s v="UG66/OTH/0015"/>
    <s v="ถนนเยาวราช โซนที่ 2 ฝั่งเหนือ (1 ฝั่งถนน) (ถบนราชวงศ์ - ถนนทรงสวัสดิ์)"/>
    <n v="0.6"/>
    <s v="BKK4"/>
    <n v="2569"/>
    <d v="2025-02-28T00:00:00"/>
    <d v="2026-02-11T00:00:00"/>
    <s v="Onprocess"/>
    <s v="ลงใต้ดิน"/>
    <s v="yes"/>
    <n v="126596.98036363638"/>
    <n v="36775.271999999997"/>
    <s v="Approved"/>
    <s v="13.742351981932222, 100.50699483795309"/>
    <s v="13.739483313274192, 100.51143472095434"/>
    <s v="60C"/>
    <m/>
    <m/>
    <n v="0.65999999999999992"/>
    <m/>
    <m/>
    <n v="0"/>
    <n v="3"/>
    <n v="0"/>
    <n v="0"/>
    <n v="0.56999999999999995"/>
    <n v="0.09"/>
    <n v="0.65999999999999992"/>
    <x v="0"/>
    <x v="1"/>
  </r>
  <r>
    <n v="14"/>
    <s v="กรุงเทพมหานครและปริมณฑล"/>
    <s v="กรุงเทพมหานคร"/>
    <s v="หักเสาไฟฟ้า"/>
    <s v="UG67/OTH/0003"/>
    <s v="ถนนวิทยุ ช่วงที่ 2 (2 ฝั่งถนน) (ถนนเพลินจิต - ถนนเพชรบุรี)"/>
    <n v="1.6"/>
    <s v="BKK4"/>
    <n v="2569"/>
    <d v="2025-06-30T00:00:00"/>
    <d v="2026-05-31T00:00:00"/>
    <s v="Onprocess"/>
    <s v="ลงใต้ดิน"/>
    <s v="yes"/>
    <n v="166500"/>
    <n v="86850"/>
    <s v="Approved"/>
    <s v="13.743321627022501, 100.54756286403692"/>
    <s v="13.749692752378785, 100.54859664430262"/>
    <s v="144C"/>
    <m/>
    <m/>
    <m/>
    <n v="1.76"/>
    <m/>
    <n v="0"/>
    <n v="0"/>
    <n v="5"/>
    <n v="0"/>
    <n v="1.52"/>
    <n v="0.24"/>
    <n v="1.76"/>
    <x v="1"/>
    <x v="2"/>
  </r>
  <r>
    <n v="15"/>
    <s v="กรุงเทพมหานครและปริมณฑล"/>
    <s v="กรุงเทพมหานคร"/>
    <s v="หักเสาไฟฟ้า"/>
    <s v="UG65/NTC/0010"/>
    <s v="ถนนพระราม 4 ช่วงที่ 2 (2 ฝั่งถนน) (สามย่านมิตรทาวน์ - แยกคลองเตย)"/>
    <n v="7.2"/>
    <s v="BKK4"/>
    <n v="2569"/>
    <d v="2026-02-28T00:00:00"/>
    <d v="2026-06-08T00:00:00"/>
    <s v="Done"/>
    <s v="ลงใต้ดิน"/>
    <s v="no"/>
    <n v="5051985.2531428598"/>
    <n v="2417417.1428571399"/>
    <s v="Approved"/>
    <s v="13.733353800169416, 100.52750043205424"/>
    <s v="13.720229321195605, 100.55906312982408"/>
    <s v="144C"/>
    <m/>
    <m/>
    <m/>
    <n v="7.92"/>
    <m/>
    <n v="0"/>
    <n v="0"/>
    <n v="8"/>
    <n v="0"/>
    <n v="6.84"/>
    <n v="1.08"/>
    <n v="7.92"/>
    <x v="3"/>
    <x v="2"/>
  </r>
  <r>
    <n v="16"/>
    <s v="กรุงเทพมหานครและปริมณฑล"/>
    <s v="กรุงเทพมหานคร"/>
    <s v="หักเสาไฟฟ้า"/>
    <s v="UG66/MSN/0002"/>
    <s v="ถนนจรัญสนิทวงศ์ ช่วงที่ 2 (2 ฝั่งอนน) (ถนนสุทธาวาส - ถนนพรานนก)"/>
    <n v="2"/>
    <s v="BKK1"/>
    <n v="2569"/>
    <d v="2025-01-01T00:00:00"/>
    <d v="2026-06-30T00:00:00"/>
    <s v="Onprocess"/>
    <s v="ลงใต้ดิน"/>
    <s v="yes"/>
    <n v="425316.51611650485"/>
    <n v="209114.56310679612"/>
    <s v="Approved"/>
    <s v="13.762829108215561, 100.47280943699901"/>
    <s v="13.754866084753044, 100.46941322132035"/>
    <s v="60C"/>
    <m/>
    <m/>
    <n v="2.1999999999999997"/>
    <m/>
    <m/>
    <n v="0"/>
    <n v="6"/>
    <n v="0"/>
    <n v="0"/>
    <n v="1.9"/>
    <n v="0.3"/>
    <n v="2.1999999999999997"/>
    <x v="0"/>
    <x v="3"/>
  </r>
  <r>
    <n v="17"/>
    <s v="กรุงเทพมหานครและปริมณฑล"/>
    <s v="กรุงเทพมหานคร"/>
    <s v="ไม่หักเสาไฟฟ้า"/>
    <s v="UG66/OTH/0016"/>
    <s v="ถนนเยาวราช โซนที่ 3 ฝั่งใต้ (1 ฝั่งถนน) (ถนนราชวงศ์ - ถนนจักรวรรดิ)"/>
    <n v="0.3"/>
    <s v="BKK4"/>
    <n v="2569"/>
    <d v="2025-02-28T00:00:00"/>
    <d v="2026-02-11T00:00:00"/>
    <s v="Done"/>
    <s v="ลงใต้ดิน"/>
    <s v="yes"/>
    <n v="63298.49018181819"/>
    <n v="18387.635999999999"/>
    <s v="Approved"/>
    <s v="13.74235530894268, 100.5069216699699"/>
    <s v="13.744095165929302, 100.50446746701284"/>
    <s v="60C"/>
    <m/>
    <m/>
    <n v="0.32999999999999996"/>
    <m/>
    <m/>
    <n v="0"/>
    <n v="2"/>
    <n v="0"/>
    <n v="0"/>
    <n v="0.28499999999999998"/>
    <n v="4.4999999999999998E-2"/>
    <n v="0.32999999999999996"/>
    <x v="0"/>
    <x v="1"/>
  </r>
  <r>
    <n v="18"/>
    <s v="กรุงเทพมหานครและปริมณฑล"/>
    <s v="กรุงเทพมหานคร"/>
    <s v="หักเสาไฟฟ้า"/>
    <s v="UG68/OTH/0007"/>
    <s v="ถนนพระราม 9 ช่วงที่ 1 (2 ฝั่งถนน) (แยกถนนรัชดาภิเษก - คลองชวดใหญ่)"/>
    <n v="3.6"/>
    <s v="BKK3"/>
    <n v="2569"/>
    <d v="2026-02-28T00:00:00"/>
    <d v="2026-07-26T00:00:00"/>
    <s v="Onprocess"/>
    <s v="ลงใต้ดิน"/>
    <s v="yes (Jastel)"/>
    <n v="822500"/>
    <n v="405300"/>
    <s v="Approved"/>
    <s v="13.75605722785821, 100.5649928410609"/>
    <s v="13.754864464443239, 100.58105671390848"/>
    <s v="144C"/>
    <m/>
    <m/>
    <m/>
    <n v="3.96"/>
    <m/>
    <n v="0"/>
    <n v="0"/>
    <n v="7"/>
    <n v="0"/>
    <n v="3.42"/>
    <n v="0.54"/>
    <n v="3.96"/>
    <x v="1"/>
    <x v="0"/>
  </r>
  <r>
    <n v="19"/>
    <s v="กรุงเทพมหานครและปริมณฑล"/>
    <s v="นนทบุรี"/>
    <s v="ไม่หักเสาไฟฟ้า"/>
    <s v="UG65/OTH/0013"/>
    <s v="ถนนศรีสมาน (2 ฝั่งถนน) (แยกสวนสมเด็จพระศรีนครินทร์ - ถนนเลียบคลองประปา)"/>
    <n v="5.2"/>
    <s v="BKK2"/>
    <n v="2569"/>
    <d v="2026-05-31T00:00:00"/>
    <d v="2026-07-31T00:00:00"/>
    <s v="Done"/>
    <s v="ลงใต้ดิน"/>
    <s v="yes"/>
    <n v="609637.44333333336"/>
    <n v="299150"/>
    <s v="Approved"/>
    <s v="13.940560347819595, 100.54209283026739"/>
    <s v="13.934430157181419, 100.56354359702038"/>
    <s v="144C"/>
    <m/>
    <m/>
    <m/>
    <n v="5.72"/>
    <m/>
    <n v="0"/>
    <n v="0"/>
    <n v="8"/>
    <n v="0"/>
    <n v="4.9399999999999995"/>
    <n v="0.78"/>
    <n v="5.72"/>
    <x v="0"/>
    <x v="1"/>
  </r>
  <r>
    <n v="20"/>
    <s v="กรุงเทพมหานครและปริมณฑล"/>
    <s v="กรุงเทพมหานคร"/>
    <s v="ไม่หักเสาไฟฟ้า"/>
    <s v="UG66/OTH/0014"/>
    <s v="ถนนเยาวราช โซนที่ 1 ฝั่งเหนือ (1 ฝั่งถนน) (ถนนราชวงศ์ - ถนนจักรวรรดิ)"/>
    <n v="0.35"/>
    <s v="BKK4"/>
    <n v="2569"/>
    <d v="2025-02-28T00:00:00"/>
    <d v="2026-02-11T00:00:00"/>
    <s v="Done"/>
    <s v="ลงใต้ดิน"/>
    <s v="yes"/>
    <n v="73848.238545454558"/>
    <n v="21452.242000000002"/>
    <s v="Approved"/>
    <s v="13.742402566193277, 100.50696074758135"/>
    <s v="13.744195474119442, 100.50455061549454"/>
    <s v="60C"/>
    <m/>
    <m/>
    <n v="0.38499999999999995"/>
    <m/>
    <m/>
    <n v="0"/>
    <n v="2"/>
    <n v="0"/>
    <n v="0"/>
    <n v="0.33249999999999996"/>
    <n v="5.2499999999999998E-2"/>
    <n v="0.38499999999999995"/>
    <x v="0"/>
    <x v="1"/>
  </r>
  <r>
    <n v="21"/>
    <s v="กรุงเทพมหานครและปริมณฑล"/>
    <s v="กรุงเทพมหานคร"/>
    <s v="หักเสาไฟฟ้า"/>
    <s v="UG65/OTH/0002"/>
    <s v="ถนนลูกหลวง (1 ฝั่งถนน) (ซอยลูกหลวง 1 - ถนนสามเสน)"/>
    <n v="2.2999999999999998"/>
    <s v="BKK4"/>
    <n v="2569"/>
    <d v="2025-10-31T00:00:00"/>
    <d v="2026-08-01T00:00:00"/>
    <s v="Wait Duct (NT)"/>
    <s v="ลงใต้ดิน+Re-route"/>
    <s v="yes"/>
    <n v="116400"/>
    <n v="57900"/>
    <s v="Request"/>
    <s v="13.754718045186001, 100.51747023999916"/>
    <s v="13.769942382856494, 100.50399285429273"/>
    <s v="60C"/>
    <m/>
    <m/>
    <n v="2.5299999999999994"/>
    <m/>
    <m/>
    <n v="0"/>
    <n v="6"/>
    <n v="0"/>
    <n v="0"/>
    <n v="2.1849999999999996"/>
    <n v="0.34499999999999997"/>
    <n v="2.5299999999999994"/>
    <x v="4"/>
    <x v="3"/>
  </r>
  <r>
    <n v="22"/>
    <s v="กรุงเทพมหานครและปริมณฑล"/>
    <s v="กรุงเทพมหานคร"/>
    <s v="หักเสาไฟฟ้า"/>
    <s v="UG66/MSN/0004"/>
    <s v="ถนนจรัญสนิทวงศ์ ช่วงที่ 3 (2 ฝั่งถนน) (แยกไฟฉาย - แยกท่าพระ)"/>
    <n v="5.8"/>
    <s v="BKK1"/>
    <n v="2569"/>
    <d v="2025-05-31T00:00:00"/>
    <d v="2026-08-30T00:00:00"/>
    <s v="Wait Duct (NT)"/>
    <s v="ลงใต้ดิน"/>
    <s v="no"/>
    <n v="420000"/>
    <n v="277920"/>
    <s v="Request"/>
    <s v="13.787687709428189, 100.46870537963544"/>
    <s v="13.729397077147375, 100.47421589346044"/>
    <s v="60C"/>
    <m/>
    <m/>
    <n v="6.38"/>
    <m/>
    <m/>
    <n v="0"/>
    <n v="8"/>
    <n v="0"/>
    <n v="0"/>
    <n v="5.51"/>
    <n v="0.87"/>
    <n v="6.38"/>
    <x v="4"/>
    <x v="3"/>
  </r>
  <r>
    <n v="23"/>
    <s v="กรุงเทพมหานครและปริมณฑล"/>
    <s v="กรุงเทพมหานคร"/>
    <s v="ไม่หักเสาไฟฟ้า"/>
    <s v="UG66/OTH/0011"/>
    <s v="ถนนเยาวราช โซนที่ 1 (2 ฝั่งถนน) (ถนนจักรวรรดิ - คลองโอ่งอ่าง 1)"/>
    <n v="0.3"/>
    <s v="BKK4"/>
    <n v="2569"/>
    <d v="2025-02-28T00:00:00"/>
    <d v="2026-02-11T00:00:00"/>
    <s v="Done"/>
    <s v="ลงใต้ดิน"/>
    <s v="yes"/>
    <n v="63298.49018181819"/>
    <n v="18387.635999999999"/>
    <s v="Approved"/>
    <s v="13.744166090823622, 100.50444645343005"/>
    <s v="13.744804819949007, 100.50313484102738"/>
    <s v="60C"/>
    <m/>
    <m/>
    <n v="0.32999999999999996"/>
    <m/>
    <m/>
    <n v="0"/>
    <n v="2"/>
    <n v="0"/>
    <n v="0"/>
    <n v="0.28499999999999998"/>
    <n v="4.4999999999999998E-2"/>
    <n v="0.32999999999999996"/>
    <x v="0"/>
    <x v="1"/>
  </r>
  <r>
    <n v="24"/>
    <s v="กรุงเทพมหานครและปริมณฑล"/>
    <s v="กรุงเทพมหานคร"/>
    <s v="หักเสาไฟฟ้า"/>
    <s v="UG68/OTH/0008"/>
    <s v="ถนนประชาราษฎร์สาย 1 (2 ฝั่งถนน) (คลองบางซื่อ - ถนนประชาราษฎร์สาย 2)"/>
    <n v="1.5"/>
    <s v="BKK2"/>
    <n v="2569"/>
    <d v="2026-05-31T00:00:00"/>
    <d v="2026-09-14T00:00:00"/>
    <s v="Wait Duct (NT)"/>
    <s v="ลงใต้ดิน+Re-route"/>
    <s v="yes"/>
    <n v="94125"/>
    <n v="86850"/>
    <s v="Approved"/>
    <s v="13.799932719041246, 100.52139090233405"/>
    <s v="13.806357300875998, 100.52160430476457"/>
    <s v="60C"/>
    <m/>
    <m/>
    <n v="1.65"/>
    <m/>
    <m/>
    <n v="0"/>
    <n v="5"/>
    <n v="0"/>
    <n v="0"/>
    <n v="1.4249999999999998"/>
    <n v="0.22499999999999998"/>
    <n v="1.65"/>
    <x v="1"/>
    <x v="2"/>
  </r>
  <r>
    <n v="25"/>
    <s v="กรุงเทพมหานครและปริมณฑล"/>
    <s v="กรุงเทพมหานคร,สมุทรปราการ"/>
    <s v="หักเสาไฟฟ้า"/>
    <s v="UG68/MSN/0005"/>
    <s v="ถนนสุขุมวิท ช่วงที่ 2 (2 ฝั่งถนน) (แยกบางนา - ถนนกาญจนาภิเษก)"/>
    <n v="10.4"/>
    <s v="BKK3"/>
    <n v="2569"/>
    <d v="2026-06-30T00:00:00"/>
    <d v="2026-09-30T00:00:00"/>
    <s v="Onprocess"/>
    <s v="ลงใต้ดิน"/>
    <s v="yes"/>
    <n v="1313624.0123857302"/>
    <n v="487132"/>
    <s v="Approved"/>
    <s v="13.673313628945984, 100.60678315958604"/>
    <s v="13.630125411559987, 100.58887238374705"/>
    <s v="144C"/>
    <m/>
    <m/>
    <m/>
    <n v="11.44"/>
    <m/>
    <n v="0"/>
    <n v="0"/>
    <n v="8"/>
    <n v="0"/>
    <n v="9.879999999999999"/>
    <n v="1.56"/>
    <n v="11.44"/>
    <x v="0"/>
    <x v="1"/>
  </r>
  <r>
    <n v="26"/>
    <s v="กรุงเทพมหานครและปริมณฑล"/>
    <s v="กรุงเทพมหานคร"/>
    <s v="ไม่หักเสาไฟฟ้า"/>
    <s v="UG65/OTH/0018"/>
    <s v="ถนนวิภาวดีรังสิต ช่วงที่ 4 (2 ฝั่งถนน) (แยกเกษตร - หลักสี่)"/>
    <n v="9.4"/>
    <s v="BKK2"/>
    <n v="2569"/>
    <d v="2026-07-31T00:00:00"/>
    <d v="2026-10-10T00:00:00"/>
    <s v="Wait Duct (NT)"/>
    <s v="ลงใต้ดิน"/>
    <s v="yes"/>
    <n v="1212600"/>
    <n v="653112"/>
    <s v="Request"/>
    <s v="13.847561540502536, 100.56149019379637"/>
    <s v="13.884322387369098, 100.58169030148558"/>
    <s v="144C"/>
    <m/>
    <m/>
    <m/>
    <n v="10.34"/>
    <m/>
    <n v="0"/>
    <n v="0"/>
    <n v="8"/>
    <n v="0"/>
    <n v="8.93"/>
    <n v="1.41"/>
    <n v="10.34"/>
    <x v="4"/>
    <x v="2"/>
  </r>
  <r>
    <n v="27"/>
    <s v="กรุงเทพมหานครและปริมณฑล"/>
    <s v="กรุงเทพมหานคร"/>
    <s v="หักเสาไฟฟ้า"/>
    <s v="UG69/MSN/0001"/>
    <s v="ถนนตก (2 ฝั่งถนน) (ถนนพระราม 3 - กฟน.ยานนาวา)"/>
    <n v="1.1000000000000001"/>
    <s v="BKK4"/>
    <n v="2569"/>
    <d v="2027-06-30T00:00:00"/>
    <m/>
    <s v="Wait Duct (NT)"/>
    <s v="Re-route"/>
    <s v="no"/>
    <n v="33600"/>
    <n v="0"/>
    <s v="Request"/>
    <s v="13.697176484650662, 100.49704267467271"/>
    <s v="13.69308524940448, 100.4924692323161"/>
    <s v="12C"/>
    <n v="1.21"/>
    <m/>
    <m/>
    <m/>
    <m/>
    <n v="4"/>
    <n v="0"/>
    <n v="0"/>
    <n v="0"/>
    <n v="1.0449999999999999"/>
    <n v="0.16500000000000001"/>
    <n v="1.21"/>
    <x v="5"/>
    <x v="3"/>
  </r>
  <r>
    <n v="28"/>
    <s v="กรุงเทพมหานครและปริมณฑล"/>
    <s v="กรุงเทพมหานคร"/>
    <s v="หักเสาไฟฟ้า"/>
    <s v="UG68/MSN/0021"/>
    <s v="เทียมร่วมมิตร (2 ฝั่งถนน) (แยกศูนย์วัฒนธรรม - ประชาอุทิศ)"/>
    <n v="5"/>
    <s v="BKK2"/>
    <n v="2569"/>
    <d v="2027-09-30T00:00:00"/>
    <m/>
    <s v="Wait Duct (NT)"/>
    <s v="ลงใต้ดิน"/>
    <s v="yes"/>
    <n v="348300"/>
    <n v="187596"/>
    <s v="Request"/>
    <s v="13.762591425569118, 100.57265766550815"/>
    <s v="13.769063091571814, 100.59284282032604"/>
    <s v="60C"/>
    <m/>
    <m/>
    <n v="5.5"/>
    <m/>
    <m/>
    <n v="0"/>
    <n v="8"/>
    <n v="0"/>
    <n v="0"/>
    <n v="4.75"/>
    <n v="0.75"/>
    <n v="5.5"/>
    <x v="5"/>
    <x v="2"/>
  </r>
  <r>
    <n v="29"/>
    <s v="กรุงเทพมหานครและปริมณฑล"/>
    <s v="กรุงเทพมหานคร"/>
    <s v="หักเสาไฟฟ้า"/>
    <s v="UG68/MSN/0020"/>
    <s v="ถนนรามคำแหง 1 (2 ฝั่งถนน) (แยกคลองตัน - ทางรถไฟ)"/>
    <n v="0.4"/>
    <s v="BKK3"/>
    <n v="2569"/>
    <d v="2026-07-31T00:00:00"/>
    <d v="2026-10-30T00:00:00"/>
    <s v="Wait Duct (NT)"/>
    <s v="ลงใต้ดิน"/>
    <s v="yes"/>
    <n v="77400"/>
    <n v="27792"/>
    <s v="Request"/>
    <s v="13.740986406319568, 100.60075742356503"/>
    <s v="13.742830113711666, 100.60144260439787"/>
    <s v="144C"/>
    <m/>
    <m/>
    <m/>
    <n v="0.44"/>
    <m/>
    <n v="0"/>
    <n v="0"/>
    <n v="2"/>
    <n v="0"/>
    <n v="0.38"/>
    <n v="0.06"/>
    <n v="0.44"/>
    <x v="4"/>
    <x v="2"/>
  </r>
  <r>
    <n v="30"/>
    <s v="กรุงเทพมหานครและปริมณฑล"/>
    <s v="กรุงเทพมหานคร"/>
    <s v="หักเสาไฟฟ้า"/>
    <s v="UG68/MSN/0025"/>
    <s v="ถนนรามคำแหง 1 (2 ฝั่งถนน) (ทางรถไฟ - แยกลำสาสี)"/>
    <n v="11.2"/>
    <s v="BKK3"/>
    <n v="2569"/>
    <d v="2026-04-30T00:00:00"/>
    <d v="2026-10-30T00:00:00"/>
    <s v="Onprocess"/>
    <s v="ลงใต้ดิน"/>
    <s v="yes"/>
    <n v="1516443.56"/>
    <n v="507342.56410256407"/>
    <s v="Approved"/>
    <s v="13.742830113711666, 100.60144260439787"/>
    <s v="13.762676916859343, 100.64562951492596"/>
    <s v="144C"/>
    <m/>
    <m/>
    <m/>
    <n v="12.319999999999999"/>
    <m/>
    <n v="0"/>
    <n v="0"/>
    <n v="8"/>
    <n v="0"/>
    <n v="10.639999999999999"/>
    <n v="1.68"/>
    <n v="12.319999999999999"/>
    <x v="1"/>
    <x v="3"/>
  </r>
  <r>
    <n v="31"/>
    <s v="กรุงเทพมหานครและปริมณฑล"/>
    <s v="นนทบุรี"/>
    <s v="หักเสาไฟฟ้า"/>
    <s v="UG68/MSN/0009"/>
    <s v="ถนนแจ้งวัฒนะ ช่วงที่ 2 (2 ฝั่งถนน) (ห้าแยกปากเกร็ด - ทางพิเศษศรีรัช)"/>
    <n v="8.4"/>
    <s v="BKK2"/>
    <n v="2569"/>
    <d v="2026-06-30T00:00:00"/>
    <d v="2026-11-01T00:00:00"/>
    <s v="Wait Duct (NT)"/>
    <s v="ลงใต้ดิน"/>
    <s v="no"/>
    <n v="1974000"/>
    <n v="972720"/>
    <s v="Request"/>
    <s v="13.907518910842692, 100.50426855225544"/>
    <s v="13.899426717362157, 100.54274973571448"/>
    <s v="144C"/>
    <m/>
    <m/>
    <m/>
    <n v="9.24"/>
    <m/>
    <n v="0"/>
    <n v="0"/>
    <n v="8"/>
    <n v="0"/>
    <n v="7.9799999999999995"/>
    <n v="1.26"/>
    <n v="9.24"/>
    <x v="4"/>
    <x v="2"/>
  </r>
  <r>
    <n v="32"/>
    <s v="กรุงเทพมหานครและปริมณฑล"/>
    <s v="กรุงเทพมหานคร"/>
    <s v="หักเสาไฟฟ้า"/>
    <s v="UG68/MSN/0022"/>
    <s v="ถนนบรมราชชนนี (2 ฝั่งถนน) (แยกอรุณ - สมเด็จพระปิ่นเกล้า-สายใต้เก่า)"/>
    <n v="5.6"/>
    <s v="BKK1"/>
    <n v="2569"/>
    <d v="2026-07-31T00:00:00"/>
    <d v="2026-11-16T00:00:00"/>
    <s v="Wait Duct (NT)"/>
    <s v="ลงใต้ดิน"/>
    <s v="yes"/>
    <n v="538199.99999999988"/>
    <n v="319608"/>
    <s v="Request"/>
    <s v="13.768484342823152, 100.48575350796152"/>
    <s v="13.78747686967618, 100.46862468398734"/>
    <s v="144C"/>
    <m/>
    <m/>
    <m/>
    <n v="6.1599999999999993"/>
    <m/>
    <n v="0"/>
    <n v="0"/>
    <n v="8"/>
    <n v="0"/>
    <n v="5.3199999999999994"/>
    <n v="0.84"/>
    <n v="6.1599999999999993"/>
    <x v="4"/>
    <x v="0"/>
  </r>
  <r>
    <n v="33"/>
    <s v="กรุงเทพมหานครและปริมณฑล"/>
    <s v="กรุงเทพมหานคร"/>
    <s v="หักเสาไฟฟ้า"/>
    <s v="UG68/MSN/0006"/>
    <s v="ถนนสาทร (2 ฝั่งถนน) (แยกถนนพระรามที่ 4 - ถนนเจริญกรุง)"/>
    <n v="6.6"/>
    <s v="BKK4"/>
    <n v="2569"/>
    <d v="2026-10-31T00:00:00"/>
    <d v="2027-02-28T00:00:00"/>
    <s v="Wait Duct (NT)"/>
    <s v="ลงใต้ดิน"/>
    <s v="no"/>
    <n v="2437500"/>
    <n v="868500"/>
    <s v="Approved"/>
    <s v="13.72630499219555, 100.54443991593318"/>
    <s v="13.71861788590893, 100.51513825939988"/>
    <s v="216C"/>
    <m/>
    <m/>
    <m/>
    <m/>
    <n v="7.26"/>
    <n v="0"/>
    <n v="0"/>
    <n v="0"/>
    <n v="8"/>
    <n v="6.27"/>
    <n v="0.98999999999999988"/>
    <n v="7.26"/>
    <x v="1"/>
    <x v="0"/>
  </r>
  <r>
    <n v="34"/>
    <s v="กรุงเทพมหานครและปริมณฑล"/>
    <s v="กรุงเทพมหานคร"/>
    <s v="ไม่หักเสาไฟฟ้า"/>
    <s v="UG68/OTH/0001"/>
    <s v="ถนนทรงวาด (2 ฝั่งถนน) (ถนนราชวงศ์ - ถนนเจริญกรุง)"/>
    <n v="2.2000000000000002"/>
    <s v="BKK4"/>
    <n v="2569"/>
    <d v="2026-06-30T00:00:00"/>
    <d v="2026-11-19T00:00:00"/>
    <s v="Wait Duct (NT)"/>
    <s v="ลงใต้ดิน"/>
    <s v="yes"/>
    <n v="28800"/>
    <n v="11580"/>
    <s v="Request"/>
    <s v="13.739560982438089, 100.50483215284562"/>
    <s v="13.736179726306444, 100.51354391848832"/>
    <s v="60C"/>
    <m/>
    <m/>
    <n v="2.42"/>
    <m/>
    <m/>
    <n v="0"/>
    <n v="6"/>
    <n v="0"/>
    <n v="0"/>
    <n v="2.09"/>
    <n v="0.33"/>
    <n v="2.42"/>
    <x v="4"/>
    <x v="0"/>
  </r>
  <r>
    <n v="35"/>
    <s v="กรุงเทพมหานครและปริมณฑล"/>
    <s v="กรุงเทพมหานคร"/>
    <s v="ไม่หักเสาไฟฟ้า"/>
    <s v="UG65/OTH/0007"/>
    <s v="ถนนวิภาวดีรังสิต (2 ฝั่งถนน) (ห้าแยกลาดพร้าว - แยกรัชวิภา)"/>
    <n v="3.8"/>
    <s v="BKK2"/>
    <n v="2569"/>
    <d v="2026-07-31T00:00:00"/>
    <d v="2026-11-23T00:00:00"/>
    <s v="Wait Duct (NT)"/>
    <s v="ลงใต้ดิน"/>
    <s v="yes"/>
    <n v="490200"/>
    <n v="264024"/>
    <s v="Request"/>
    <s v="13.813637399905678, 100.5601922880701"/>
    <s v="13.83061678294147, 100.55769289913887"/>
    <s v="144C"/>
    <m/>
    <m/>
    <m/>
    <n v="4.18"/>
    <m/>
    <n v="0"/>
    <n v="0"/>
    <n v="8"/>
    <n v="0"/>
    <n v="3.61"/>
    <n v="0.56999999999999995"/>
    <n v="4.18"/>
    <x v="4"/>
    <x v="0"/>
  </r>
  <r>
    <n v="36"/>
    <s v="กรุงเทพมหานครและปริมณฑล"/>
    <s v="กรุงเทพมหานคร"/>
    <s v="ไม่หักเสาไฟฟ้า"/>
    <s v="UG65/OTH/0016"/>
    <s v="ถนนวิภาวดีรังสิต (2 ฝั่งถนน) (แยกรัชวิภา - ถนนงามวงศ์วาน)"/>
    <n v="4"/>
    <s v="BKK2"/>
    <n v="2569"/>
    <d v="2026-07-31T00:00:00"/>
    <d v="2026-11-24T00:00:00"/>
    <s v="Wait Duct (NT)"/>
    <s v="ลงใต้ดิน"/>
    <s v="yes"/>
    <n v="516000"/>
    <n v="277920"/>
    <s v="Request"/>
    <s v="13.83061678294147, 100.55769289913887"/>
    <s v="13.847539117538599, 100.56154407157679"/>
    <s v="144C"/>
    <m/>
    <m/>
    <m/>
    <n v="4.3999999999999995"/>
    <m/>
    <n v="0"/>
    <n v="0"/>
    <n v="8"/>
    <n v="0"/>
    <n v="3.8"/>
    <n v="0.6"/>
    <n v="4.3999999999999995"/>
    <x v="4"/>
    <x v="0"/>
  </r>
  <r>
    <n v="37"/>
    <s v="กรุงเทพมหานครและปริมณฑล"/>
    <s v="นนทบุรี"/>
    <s v="หักเสาไฟฟ้า"/>
    <s v="UG68/MSN/0003"/>
    <s v="ถนนติวานนท์ (2 ฝั่งถนน) (แยกกรุงเทพนนท์ - แยกแคราย)"/>
    <n v="7.6"/>
    <s v="BKK2"/>
    <n v="2569"/>
    <d v="2026-07-31T00:00:00"/>
    <d v="2026-10-31T00:00:00"/>
    <s v="Wait Duct (NT)"/>
    <s v="ลงใต้ดิน"/>
    <s v="yes"/>
    <n v="774000"/>
    <n v="416880"/>
    <s v="Request"/>
    <s v="13.84298287114514, 100.51090893807161"/>
    <s v="13.85902955876802, 100.52166995473303"/>
    <s v="144C"/>
    <m/>
    <m/>
    <m/>
    <n v="8.36"/>
    <m/>
    <n v="0"/>
    <n v="0"/>
    <n v="8"/>
    <n v="0"/>
    <n v="7.22"/>
    <n v="1.1399999999999999"/>
    <n v="8.36"/>
    <x v="4"/>
    <x v="2"/>
  </r>
  <r>
    <n v="38"/>
    <s v="กรุงเทพมหานครและปริมณฑล"/>
    <s v="กรุงเทพมหานคร"/>
    <s v="หักเสาไฟฟ้า"/>
    <s v="UG68/MSN/0026"/>
    <s v="ถนนนครอินทร์ (2 ฝั่งถนน) (นครอินทร์ - กรุงเทพนนท์)"/>
    <n v="7.6"/>
    <s v="BKK2"/>
    <n v="2569"/>
    <d v="2026-12-31T00:00:00"/>
    <d v="2026-11-24T00:00:00"/>
    <s v="Wait Duct (NT)"/>
    <s v="ลงใต้ดิน+Re-route"/>
    <s v="yes"/>
    <n v="516000"/>
    <n v="277920"/>
    <s v="Request"/>
    <s v="13.833026077932532, 100.49630051361952"/>
    <s v="13.843006092864622, 100.51086234465382"/>
    <s v="60C"/>
    <m/>
    <m/>
    <n v="8.36"/>
    <m/>
    <m/>
    <n v="0"/>
    <n v="8"/>
    <n v="0"/>
    <n v="0"/>
    <n v="7.22"/>
    <n v="1.1399999999999999"/>
    <n v="8.36"/>
    <x v="4"/>
    <x v="2"/>
  </r>
  <r>
    <n v="39"/>
    <s v="กรุงเทพมหานครและปริมณฑล"/>
    <s v="กรุงเทพมหานคร"/>
    <s v="หักเสาไฟฟ้า"/>
    <s v="UG65/NTC/0008"/>
    <s v="ถนนรัชดาภิเษก 2 (2 ฝั่งถนน) (ถนนเพชรบุรี - แยกสุทธิสาร)"/>
    <n v="9.6"/>
    <s v="BKK2"/>
    <n v="2569"/>
    <d v="2026-07-31T00:00:00"/>
    <d v="2026-11-30T00:00:00"/>
    <s v="Wait Duct (NT)"/>
    <s v="ลงใต้ดิน"/>
    <s v="yes"/>
    <n v="1749000"/>
    <n v="736488"/>
    <s v="Request"/>
    <s v="13.748956008689177, 100.56338852059962"/>
    <s v="13.789756397039273, 100.57417618016926"/>
    <s v="144C"/>
    <m/>
    <m/>
    <m/>
    <n v="10.559999999999999"/>
    <m/>
    <n v="0"/>
    <n v="0"/>
    <n v="8"/>
    <n v="0"/>
    <n v="9.1199999999999992"/>
    <n v="1.44"/>
    <n v="10.559999999999999"/>
    <x v="4"/>
    <x v="0"/>
  </r>
  <r>
    <n v="40"/>
    <s v="กรุงเทพมหานครและปริมณฑล"/>
    <s v="กรุงเทพมหานคร"/>
    <s v="หักเสาไฟฟ้า"/>
    <s v="UG68/NTC/0013"/>
    <s v="ถนนเพชรบุรี ช่วงที่ 1 (2 ฝั่งถนน) (แยกคลองตัน - ทางรถไฟ)"/>
    <n v="11.2"/>
    <s v="BKK4"/>
    <n v="2569"/>
    <d v="2026-07-31T00:00:00"/>
    <d v="2026-11-30T00:00:00"/>
    <s v="Wait Duct (NT)"/>
    <s v="ลงใต้ดิน"/>
    <s v="yes"/>
    <n v="1912500"/>
    <n v="868500"/>
    <s v="Request"/>
    <s v="13.740981230694201, 100.60078273605333"/>
    <s v="13.749005091156855, 100.5634206550746"/>
    <s v="144C"/>
    <m/>
    <m/>
    <m/>
    <n v="12.319999999999999"/>
    <m/>
    <n v="0"/>
    <n v="0"/>
    <n v="8"/>
    <n v="0"/>
    <n v="10.639999999999999"/>
    <n v="1.68"/>
    <n v="12.319999999999999"/>
    <x v="4"/>
    <x v="3"/>
  </r>
  <r>
    <n v="41"/>
    <s v="กรุงเทพมหานครและปริมณฑล"/>
    <s v="สมุทรปราการ"/>
    <s v="หักเสาไฟฟ้า"/>
    <s v="UG66/MSN/0006"/>
    <s v="ถนนเทพารักษ์ (2 ฝั่งถนน) (ถนนศรีนครินทร์ - ถนนสุขุทวิท)"/>
    <n v="8"/>
    <s v="BKK3"/>
    <n v="2569"/>
    <d v="2026-09-30T00:00:00"/>
    <d v="2026-12-01T00:00:00"/>
    <s v="Onprocess"/>
    <s v="ลงใต้ดิน"/>
    <s v="yes"/>
    <n v="1518000"/>
    <n v="337750"/>
    <s v="Approved"/>
    <s v="13.627654688688677, 100.62693086661409"/>
    <s v="13.645462789992136, 100.59540816586255"/>
    <s v="60C"/>
    <m/>
    <m/>
    <n v="8.7999999999999989"/>
    <m/>
    <m/>
    <n v="0"/>
    <n v="8"/>
    <n v="0"/>
    <n v="0"/>
    <n v="7.6"/>
    <n v="1.2"/>
    <n v="8.7999999999999989"/>
    <x v="0"/>
    <x v="1"/>
  </r>
  <r>
    <n v="42"/>
    <s v="กรุงเทพมหานครและปริมณฑล"/>
    <s v="กรุงเทพมหานคร"/>
    <s v="หักเสาไฟฟ้า"/>
    <s v="UG68/MSN/0014"/>
    <s v="ถนนวงศ์สว่าง (2 ฝั่งถนน) (แยกวงศ์สว่าง - สะพานพระรามที่ 7)"/>
    <n v="3.6"/>
    <s v="BKK2"/>
    <n v="2569"/>
    <d v="2026-07-31T00:00:00"/>
    <d v="2026-12-01T00:00:00"/>
    <s v="Wait Duct (NT)"/>
    <s v="ลงใต้ดิน"/>
    <s v="yes"/>
    <n v="309600"/>
    <n v="166752"/>
    <s v="Request"/>
    <s v="13.828280446564875, 100.52844899918583"/>
    <s v="13.815065383626976, 100.51465005727985"/>
    <s v="60C"/>
    <m/>
    <m/>
    <n v="3.96"/>
    <m/>
    <m/>
    <n v="0"/>
    <n v="7"/>
    <n v="0"/>
    <n v="0"/>
    <n v="3.42"/>
    <n v="0.54"/>
    <n v="3.96"/>
    <x v="4"/>
    <x v="0"/>
  </r>
  <r>
    <n v="43"/>
    <s v="กรุงเทพมหานครและปริมณฑล"/>
    <s v="กรุงเทพมหานคร"/>
    <s v="หักเสาไฟฟ้า"/>
    <s v="UG68/NTC/0020"/>
    <s v="สิรินธร (2 ฝั่งถนน) (สะพานกรุงธน - คลองบางกอกน้อย)"/>
    <n v="8"/>
    <s v="BKK1"/>
    <n v="2569"/>
    <d v="2026-07-31T00:00:00"/>
    <d v="2026-12-01T00:00:00"/>
    <s v="Wait Duct (NT)"/>
    <s v="ลงใต้ดิน"/>
    <s v="yes"/>
    <n v="832500"/>
    <n v="521100"/>
    <s v="Request"/>
    <s v="13.781648499316042, 100.50094361239289"/>
    <s v="13.786976409115878, 100.46589920749993"/>
    <s v="144C"/>
    <m/>
    <m/>
    <m/>
    <n v="8.7999999999999989"/>
    <m/>
    <n v="0"/>
    <n v="0"/>
    <n v="8"/>
    <n v="0"/>
    <n v="7.6"/>
    <n v="1.2"/>
    <n v="8.7999999999999989"/>
    <x v="4"/>
    <x v="2"/>
  </r>
  <r>
    <n v="44"/>
    <s v="กรุงเทพมหานครและปริมณฑล"/>
    <s v="กรุงเทพมหานคร"/>
    <s v="หักเสาไฟฟ้า"/>
    <s v="UG68/OTH/0004"/>
    <s v="ถนนราชวิถี (2 ฝั่งถนน) (อนุสาวรีย์ชัยสมรภูมิ - สามเหลี่ยมดินแดง)"/>
    <n v="1"/>
    <s v="BKK4"/>
    <n v="2570"/>
    <d v="2026-09-30T00:00:00"/>
    <d v="2027-01-25T00:00:00"/>
    <s v="Wait Duct (NT)"/>
    <s v="ลงใต้ดิน"/>
    <s v="no"/>
    <n v="171000"/>
    <n v="115800"/>
    <s v="Request"/>
    <s v="13.764800092495538, 100.53877615319551"/>
    <s v="13.762744439907017, 100.54278408144117"/>
    <s v="60C"/>
    <m/>
    <m/>
    <n v="1.0999999999999999"/>
    <m/>
    <m/>
    <n v="0"/>
    <n v="4"/>
    <n v="0"/>
    <n v="0"/>
    <n v="0.95"/>
    <n v="0.15"/>
    <n v="1.0999999999999999"/>
    <x v="4"/>
    <x v="2"/>
  </r>
  <r>
    <n v="45"/>
    <s v="กรุงเทพมหานครและปริมณฑล"/>
    <s v="กรุงเทพมหานคร"/>
    <s v="หักเสาไฟฟ้า"/>
    <s v="UG65/NTC/0021"/>
    <s v="ถนนอิสรภาพ (2 ฝั่งถนน) (ประชาธิปก - สุทธาวาส)"/>
    <n v="8"/>
    <s v="BKK1"/>
    <n v="2570"/>
    <d v="2026-09-30T00:00:00"/>
    <d v="2027-01-28T00:00:00"/>
    <s v="Wait Duct (NT)"/>
    <s v="ลงใต้ดิน"/>
    <s v="yes"/>
    <n v="684000"/>
    <n v="440040"/>
    <s v="Request"/>
    <s v="13.730865105684142, 100.49468121949658"/>
    <s v="13.760283704312112, 100.47776346588293"/>
    <s v="60C"/>
    <m/>
    <m/>
    <n v="8.7999999999999989"/>
    <m/>
    <m/>
    <n v="0"/>
    <n v="8"/>
    <n v="0"/>
    <n v="0"/>
    <n v="7.6"/>
    <n v="1.2"/>
    <n v="8.7999999999999989"/>
    <x v="4"/>
    <x v="0"/>
  </r>
  <r>
    <n v="46"/>
    <s v="กรุงเทพมหานครและปริมณฑล"/>
    <s v="กรุงเทพมหานคร"/>
    <s v="หักเสาไฟฟ้า"/>
    <s v="UG65/NTC/0017"/>
    <s v="ถนนเพชรบุรี ช่วงที่ 2 (2 ฝั่งถนน) (ทางรถไฟด่านเก็บเงินเพชรบุรี - ราชปรารภ)"/>
    <n v="2"/>
    <s v="BKK4"/>
    <n v="2570"/>
    <d v="2026-09-30T00:00:00"/>
    <d v="2027-02-01T00:00:00"/>
    <s v="Wait Duct (NT)"/>
    <s v="ลงใต้ดิน"/>
    <s v="no"/>
    <n v="465500"/>
    <n v="220020"/>
    <s v="Request"/>
    <s v="13.749787403474818, 100.54964343484802"/>
    <s v="13.7499458602298, 100.54105478866208"/>
    <s v="216C"/>
    <m/>
    <m/>
    <m/>
    <m/>
    <n v="2.1999999999999997"/>
    <n v="0"/>
    <n v="0"/>
    <n v="0"/>
    <n v="6"/>
    <n v="1.9"/>
    <n v="0.3"/>
    <n v="2.1999999999999997"/>
    <x v="4"/>
    <x v="3"/>
  </r>
  <r>
    <n v="47"/>
    <s v="กรุงเทพมหานครและปริมณฑล"/>
    <s v="กรุงเทพมหานคร"/>
    <s v="หักเสาไฟฟ้า"/>
    <s v="UG68/MSN/0017"/>
    <s v="ถนนเพชรเกษม (2 ฝั่งถนน) (ท่าพระ - ถนนราชพฤกษ์)"/>
    <n v="4"/>
    <s v="BKK1"/>
    <n v="2570"/>
    <d v="2026-09-30T00:00:00"/>
    <d v="2027-02-01T00:00:00"/>
    <s v="Wait Duct (NT)"/>
    <s v="ลงใต้ดิน"/>
    <s v="yes"/>
    <n v="342000"/>
    <n v="220020"/>
    <s v="Request"/>
    <s v="13.729464086264572, 100.47426293686144"/>
    <s v="13.720709494464097, 100.45810571288538"/>
    <s v="60C"/>
    <m/>
    <m/>
    <n v="4.3999999999999995"/>
    <m/>
    <m/>
    <n v="0"/>
    <n v="8"/>
    <n v="0"/>
    <n v="0"/>
    <n v="3.8"/>
    <n v="0.6"/>
    <n v="4.3999999999999995"/>
    <x v="4"/>
    <x v="1"/>
  </r>
  <r>
    <n v="48"/>
    <s v="กรุงเทพมหานครและปริมณฑล"/>
    <s v="กรุงเทพมหานคร"/>
    <s v="หักเสาไฟฟ้า"/>
    <s v="UG68/MSN/0023"/>
    <s v="พรานนก และ วังหลัง (2 ฝั่งถนน) (แยกไฟฉาย - อรุณอมรินทร์)"/>
    <n v="3"/>
    <s v="BKK1"/>
    <n v="2570"/>
    <d v="2026-09-30T00:00:00"/>
    <d v="2027-02-01T00:00:00"/>
    <s v="Wait Duct (NT)"/>
    <s v="ลงใต้ดิน"/>
    <s v="yes"/>
    <n v="256499.99999999997"/>
    <n v="167910"/>
    <s v="Request"/>
    <s v="13.754875983721924, 100.46942046265632"/>
    <s v="13.75603866624026, 100.48343462595759"/>
    <s v="60C"/>
    <m/>
    <m/>
    <n v="3.3"/>
    <m/>
    <m/>
    <n v="0"/>
    <n v="7"/>
    <n v="0"/>
    <n v="0"/>
    <n v="2.8499999999999996"/>
    <n v="0.44999999999999996"/>
    <n v="3.3"/>
    <x v="4"/>
    <x v="3"/>
  </r>
  <r>
    <n v="49"/>
    <s v="กรุงเทพมหานครและปริมณฑล"/>
    <s v="กรุงเทพมหานคร"/>
    <s v="หักเสาไฟฟ้า"/>
    <s v="UG66/OTH/0012"/>
    <s v="ถนนเจริญราษฎร์ (2 ฝั่งถนน) (ถนนพระราม 3 - ถนนสาทร)"/>
    <n v="7.6"/>
    <s v="BKK4"/>
    <n v="2570"/>
    <d v="2026-09-30T00:00:00"/>
    <d v="2027-02-05T00:00:00"/>
    <s v="Wait Duct (NT)"/>
    <s v="ลงใต้ดิน+Re-route"/>
    <s v="yes"/>
    <n v="649800"/>
    <n v="422670"/>
    <s v="Request"/>
    <s v="13.689649688758289, 100.50944504619831"/>
    <s v="13.718744533135638, 100.51983267752003"/>
    <s v="60C"/>
    <m/>
    <m/>
    <n v="8.36"/>
    <m/>
    <m/>
    <n v="0"/>
    <n v="8"/>
    <n v="0"/>
    <n v="0"/>
    <n v="7.22"/>
    <n v="1.1399999999999999"/>
    <n v="8.36"/>
    <x v="4"/>
    <x v="2"/>
  </r>
  <r>
    <n v="50"/>
    <s v="กรุงเทพมหานครและปริมณฑล"/>
    <s v="กรุงเทพมหานคร"/>
    <s v="หักเสาไฟฟ้า"/>
    <s v="UG68/OTH/0006"/>
    <s v="ถนนดินแดง (2 ฝั่งถนน) (สามเหลี่ยมดินแดง - แยกถนนรัชดา)"/>
    <n v="5.6"/>
    <s v="BKK2"/>
    <n v="2570"/>
    <d v="2026-09-30T00:00:00"/>
    <d v="2027-02-08T00:00:00"/>
    <s v="Wait Duct (NT)"/>
    <s v="ลงใต้ดิน"/>
    <s v="no"/>
    <n v="1303399.9999999998"/>
    <n v="625319.99999999988"/>
    <s v="Request"/>
    <s v="13.762744439907017, 100.54278408144117"/>
    <s v="13.756070282325858, 100.56500886653677"/>
    <s v="216C"/>
    <m/>
    <m/>
    <m/>
    <m/>
    <n v="6.1599999999999993"/>
    <n v="0"/>
    <n v="0"/>
    <n v="0"/>
    <n v="8"/>
    <n v="5.3199999999999994"/>
    <n v="0.84"/>
    <n v="6.1599999999999993"/>
    <x v="4"/>
    <x v="0"/>
  </r>
  <r>
    <n v="51"/>
    <s v="กรุงเทพมหานครและปริมณฑล"/>
    <s v="กรุงเทพมหานคร,นนทบุรี"/>
    <s v="หักเสาไฟฟ้า"/>
    <s v="UG68/MSN/0010"/>
    <s v="ถนนกรุงเทพ- นนทบุรี (2 ฝั่งถนน) (แยกติวานนท์ - แยกเตาปูน)"/>
    <n v="10.4"/>
    <s v="BKK2"/>
    <n v="2570"/>
    <d v="2026-10-31T00:00:00"/>
    <d v="2027-02-28T00:00:00"/>
    <s v="Wait Duct (NT)"/>
    <s v="ลงใต้ดิน"/>
    <s v="yes"/>
    <n v="1062100"/>
    <n v="573210"/>
    <s v="Request"/>
    <s v="13.84297790150584, 100.51094977149363"/>
    <s v="13.806327978258864, 100.53079510194443"/>
    <s v="144C"/>
    <m/>
    <m/>
    <m/>
    <n v="11.44"/>
    <m/>
    <n v="0"/>
    <n v="0"/>
    <n v="8"/>
    <n v="0"/>
    <n v="9.879999999999999"/>
    <n v="1.56"/>
    <n v="11.44"/>
    <x v="4"/>
    <x v="1"/>
  </r>
  <r>
    <n v="52"/>
    <s v="กรุงเทพมหานครและปริมณฑล"/>
    <s v="สมุทรปราการ"/>
    <s v="หักเสาไฟฟ้า"/>
    <s v="UG69/MSN/0005"/>
    <s v="ถนนศรีนครินทร์ ช่วงที่ 4 (2 ฝั่งถนน) (แยกศรีเทพา - ถนนสุขุมวิท)"/>
    <n v="8.8000000000000007"/>
    <s v="BKK3"/>
    <n v="2570"/>
    <d v="2026-09-30T00:00:00"/>
    <d v="2027-02-28T00:00:00"/>
    <s v="Wait Duct (NT)"/>
    <s v="ลงใต้ดิน"/>
    <s v="yes"/>
    <n v="752400"/>
    <n v="486360"/>
    <s v="Request"/>
    <s v="13.627698595878012, 100.62686857592635"/>
    <s v="13.595274062814857, 100.60721248910681"/>
    <s v="60C"/>
    <m/>
    <m/>
    <n v="9.68"/>
    <m/>
    <m/>
    <n v="0"/>
    <n v="8"/>
    <n v="0"/>
    <n v="0"/>
    <n v="8.36"/>
    <n v="1.32"/>
    <n v="9.68"/>
    <x v="4"/>
    <x v="1"/>
  </r>
  <r>
    <n v="53"/>
    <s v="กรุงเทพมหานครและปริมณฑล"/>
    <s v="กรุงเทพมหานคร"/>
    <s v="หักเสาไฟฟ้า"/>
    <s v="UG68/MSN/0007"/>
    <s v="ถนนสุขุมวิท ช่วงที่ 1 (2 ฝั่งถนน) (ซอยสุขุมวิท 71 - แยกบางนา)"/>
    <n v="10"/>
    <s v="BKK3"/>
    <n v="2570"/>
    <d v="2026-10-31T00:00:00"/>
    <d v="2027-03-01T00:00:00"/>
    <s v="Wait Duct (NT)"/>
    <s v="ลงใต้ดิน"/>
    <s v="yes"/>
    <n v="1021250"/>
    <n v="550050"/>
    <s v="Request"/>
    <s v="13.713203690930486, 100.59416227388795"/>
    <s v="13.673355369035688, 100.60683776058906"/>
    <s v="144C"/>
    <m/>
    <m/>
    <m/>
    <n v="11"/>
    <m/>
    <n v="0"/>
    <n v="0"/>
    <n v="8"/>
    <n v="0"/>
    <n v="9.5"/>
    <n v="1.5"/>
    <n v="11"/>
    <x v="4"/>
    <x v="2"/>
  </r>
  <r>
    <n v="54"/>
    <s v="กรุงเทพมหานครและปริมณฑล"/>
    <s v="นนทบุรี,กรุงเทพมหานคร"/>
    <s v="หักเสาไฟฟ้า"/>
    <s v="UG68/OTH/0011"/>
    <s v="ถนนงามวงศ์วาน ช่วงที่ 2 (2 ฝั่งถนน) (แยกพงษ์เพชร -แยกตัดถนนวิภาวดี)"/>
    <n v="4"/>
    <s v="BKK2"/>
    <n v="2570"/>
    <d v="2026-09-30T00:00:00"/>
    <d v="2027-03-01T00:00:00"/>
    <s v="Wait Duct (NT)"/>
    <s v="ลงใต้ดิน"/>
    <s v="no"/>
    <n v="931000"/>
    <n v="440040"/>
    <s v="Request"/>
    <s v="13.85624018036317, 100.54505760117429"/>
    <s v="13.84756954491032, 100.56152120728179"/>
    <s v="216C"/>
    <m/>
    <m/>
    <m/>
    <m/>
    <n v="4.3999999999999995"/>
    <n v="0"/>
    <n v="0"/>
    <n v="0"/>
    <n v="8"/>
    <n v="3.8"/>
    <n v="0.6"/>
    <n v="4.3999999999999995"/>
    <x v="4"/>
    <x v="0"/>
  </r>
  <r>
    <n v="55"/>
    <s v="กรุงเทพมหานครและปริมณฑล"/>
    <s v="กรุงเทพมหานคร"/>
    <s v="หักเสาไฟฟ้า"/>
    <s v="UG68/OTH/0009"/>
    <s v="ถนนรัชดาภิเษก 3 (2 ฝั่งถนน) (แยกสุทธิสาร-แยกถนนวิภาวดี)"/>
    <n v="11.6"/>
    <s v="BKK2"/>
    <n v="2570"/>
    <d v="2026-09-30T00:00:00"/>
    <d v="2027-03-08T00:00:00"/>
    <s v="Wait Duct (NT)"/>
    <s v="ลงใต้ดิน"/>
    <s v="yes"/>
    <n v="1184650"/>
    <n v="642690"/>
    <s v="Request"/>
    <s v="13.789756397039273, 100.57417618016926"/>
    <s v="13.830685694010125, 100.55756281057124"/>
    <s v="144C"/>
    <m/>
    <m/>
    <m/>
    <n v="12.76"/>
    <m/>
    <n v="0"/>
    <n v="0"/>
    <n v="8"/>
    <n v="0"/>
    <n v="11.02"/>
    <n v="1.74"/>
    <n v="12.76"/>
    <x v="4"/>
    <x v="2"/>
  </r>
  <r>
    <n v="56"/>
    <s v="กรุงเทพมหานครและปริมณฑล"/>
    <s v="กรุงเทพมหานคร"/>
    <s v="หักเสาไฟฟ้า"/>
    <s v="UG65/NTC/0014"/>
    <s v="ถนนพหลโยธิน 2 (2 ฝั่งถนน) (แยกเกษตร - อนุสาวรีย์ หลักสี่)"/>
    <n v="9"/>
    <s v="BKK2"/>
    <n v="2570"/>
    <d v="2026-09-30T00:00:00"/>
    <d v="2027-03-09T00:00:00"/>
    <s v="Wait Duct (NT)"/>
    <s v="ลงใต้ดิน"/>
    <s v="yes"/>
    <n v="769499.99999999988"/>
    <n v="497940"/>
    <s v="Request"/>
    <s v="13.839827968444329, 100.57550524543554"/>
    <s v="13.875589177462665, 100.59676768400197"/>
    <s v="60C"/>
    <m/>
    <m/>
    <n v="9.8999999999999986"/>
    <m/>
    <m/>
    <n v="0"/>
    <n v="8"/>
    <n v="0"/>
    <n v="0"/>
    <n v="8.5499999999999989"/>
    <n v="1.3499999999999999"/>
    <n v="9.8999999999999986"/>
    <x v="4"/>
    <x v="2"/>
  </r>
  <r>
    <n v="57"/>
    <s v="กรุงเทพมหานครและปริมณฑล"/>
    <s v="กรุงเทพมหานคร"/>
    <s v="หักเสาไฟฟ้า"/>
    <s v="UG67/OTH/0005"/>
    <s v="ถนนลาดพร้าว ช่วงที่ 3 (2 ฝั่งถนน) ถนนประดิษฐมนูธรรม -แยกบางกระปิ)"/>
    <n v="9.8000000000000007"/>
    <s v="BKK3"/>
    <n v="2570"/>
    <d v="2026-10-30T00:00:00"/>
    <d v="2027-03-15T00:00:00"/>
    <s v="Wait Duct (NT)"/>
    <s v="ลงใต้ดิน"/>
    <s v="yes"/>
    <n v="1000825"/>
    <n v="544260"/>
    <s v="Request"/>
    <s v="13.786459682047154, 100.60876053559376"/>
    <s v="13.766300609623196, 100.64787717735416"/>
    <s v="144C"/>
    <m/>
    <m/>
    <m/>
    <n v="10.780000000000001"/>
    <m/>
    <n v="0"/>
    <n v="0"/>
    <n v="8"/>
    <n v="0"/>
    <n v="9.31"/>
    <n v="1.47"/>
    <n v="10.780000000000001"/>
    <x v="4"/>
    <x v="0"/>
  </r>
  <r>
    <n v="58"/>
    <s v="กรุงเทพมหานครและปริมณฑล"/>
    <s v="กรุงเทพมหานคร"/>
    <s v="หักเสาไฟฟ้า"/>
    <s v="UG68/MSN/0002"/>
    <s v="ถนนศรีนครินทร์ ช่วงที่ 1 (2 ฝั่งถนน) (แยกบางกะปิ - ถนนอ่อนนุช)"/>
    <n v="12"/>
    <s v="BKK3"/>
    <n v="2570"/>
    <d v="2026-10-31T00:00:00"/>
    <d v="2027-03-24T00:00:00"/>
    <s v="Wait Duct (NT)"/>
    <s v="ลงใต้ดิน"/>
    <s v="yes"/>
    <n v="1225499.9999999998"/>
    <n v="660060"/>
    <s v="Request"/>
    <s v="13.7660546465012, 100.64532484985841"/>
    <s v="13.712741344301582, 100.64378503803319"/>
    <s v="144C"/>
    <m/>
    <m/>
    <m/>
    <n v="13.2"/>
    <m/>
    <n v="0"/>
    <n v="0"/>
    <n v="8"/>
    <n v="0"/>
    <n v="11.399999999999999"/>
    <n v="1.7999999999999998"/>
    <n v="13.2"/>
    <x v="4"/>
    <x v="1"/>
  </r>
  <r>
    <n v="59"/>
    <s v="กรุงเทพมหานครและปริมณฑล"/>
    <s v="นนทบุรี"/>
    <s v="หักเสาไฟฟ้า"/>
    <s v="UG68/MSN/0012"/>
    <s v="ถนนติวานนท์ (2 ฝั่งถนน) (ห้าแยกปากเกร็ด - แยกแคราย)"/>
    <n v="11.4"/>
    <s v="BKK2"/>
    <n v="2570"/>
    <d v="2026-10-31T00:00:00"/>
    <d v="2027-03-31T00:00:00"/>
    <s v="Wait Duct (NT)"/>
    <s v="ลงใต้ดิน"/>
    <s v="yes"/>
    <n v="1164225"/>
    <n v="631110"/>
    <s v="Request"/>
    <s v="13.907483451106742, 100.50426981226043"/>
    <s v="13.859106845100559, 100.52162183687501"/>
    <s v="144C"/>
    <m/>
    <m/>
    <m/>
    <n v="12.54"/>
    <m/>
    <n v="0"/>
    <n v="0"/>
    <n v="8"/>
    <n v="0"/>
    <n v="10.83"/>
    <n v="1.71"/>
    <n v="12.54"/>
    <x v="4"/>
    <x v="2"/>
  </r>
  <r>
    <n v="60"/>
    <s v="กรุงเทพมหานครและปริมณฑล"/>
    <s v="กรุงเทพมหานคร"/>
    <s v="หักเสาไฟฟ้า"/>
    <s v="UG68/MSN/0011"/>
    <s v="ถนนพระรามที่ 3 ช่วงที่ 3 (2 ฝั่งถนน) (ถนนตก - ถนนมไหสวรรย์)"/>
    <n v="2.2000000000000002"/>
    <s v="BKK4"/>
    <n v="2570"/>
    <d v="2026-12-31T00:00:00"/>
    <d v="2027-04-17T00:00:00"/>
    <s v="Wait Duct (NT)"/>
    <s v="ลงใต้ดิน"/>
    <s v="yes"/>
    <n v="224674.99999999997"/>
    <n v="121590"/>
    <s v="Request"/>
    <s v="13.697207935948072, 100.49696301006382"/>
    <s v="13.702965139932047, 100.48847828631324"/>
    <s v="144C"/>
    <m/>
    <m/>
    <m/>
    <n v="2.42"/>
    <m/>
    <n v="0"/>
    <n v="0"/>
    <n v="6"/>
    <n v="0"/>
    <n v="2.09"/>
    <n v="0.33"/>
    <n v="2.42"/>
    <x v="4"/>
    <x v="2"/>
  </r>
  <r>
    <n v="61"/>
    <s v="กรุงเทพมหานครและปริมณฑล"/>
    <s v="กรุงเทพมหานคร"/>
    <s v="ไม่หักเสาไฟฟ้า"/>
    <s v="UG65/OTH/0017"/>
    <s v="ถนนวิภาวดีรังสิต ช่วงที่ 1 (2 ฝั่งถนน) (ดินแดง - ลาดพร้าว)"/>
    <n v="11.8"/>
    <s v="BKK2"/>
    <n v="2570"/>
    <d v="2026-12-31T00:00:00"/>
    <d v="2027-04-20T00:00:00"/>
    <s v="Wait Duct (NT)"/>
    <s v="ลงใต้ดิน"/>
    <s v="yes"/>
    <n v="1205075"/>
    <n v="654269.99999999988"/>
    <s v="Request"/>
    <s v="13.763888548398961, 100.54821285898583"/>
    <s v="13.81366815830685, 100.56018218643692"/>
    <s v="144C"/>
    <m/>
    <m/>
    <m/>
    <n v="12.98"/>
    <m/>
    <n v="0"/>
    <n v="0"/>
    <n v="8"/>
    <n v="0"/>
    <n v="11.21"/>
    <n v="1.77"/>
    <n v="12.98"/>
    <x v="4"/>
    <x v="0"/>
  </r>
  <r>
    <n v="62"/>
    <s v="กรุงเทพมหานครและปริมณฑล"/>
    <s v="นนทบุรี"/>
    <s v="หักเสาไฟฟ้า"/>
    <s v="UG68/OTH/0010"/>
    <s v="ถนนรัตนาธิเบศร์ ช่วงที่ 1 (2 ฝั่งถนน) (สี่แยกแคราย - สะพานพระนั่งเกล้า)"/>
    <n v="9.6"/>
    <s v="BKK2"/>
    <n v="2570"/>
    <d v="2026-10-31T00:00:00"/>
    <d v="2027-04-30T00:00:00"/>
    <s v="Wait Duct (NT)"/>
    <s v="ลงใต้ดิน"/>
    <s v="no"/>
    <n v="1960799.9999999998"/>
    <n v="1065360"/>
    <s v="Request"/>
    <s v="13.85913947230355, 100.52167406050074"/>
    <s v="13.870702682930677, 100.47771600701854"/>
    <s v="144C"/>
    <m/>
    <m/>
    <m/>
    <n v="10.559999999999999"/>
    <m/>
    <n v="0"/>
    <n v="0"/>
    <n v="8"/>
    <n v="0"/>
    <n v="9.1199999999999992"/>
    <n v="1.44"/>
    <n v="10.559999999999999"/>
    <x v="4"/>
    <x v="1"/>
  </r>
  <r>
    <n v="63"/>
    <s v="กรุงเทพมหานครและปริมณฑล"/>
    <s v="กรุงเทพมหานคร"/>
    <s v="หักเสาไฟฟ้า"/>
    <s v="UG69/MSN/0007"/>
    <s v="ถนนอรุณอมรินทร์ ช่วงที่ 2 (2 ฝั่งถนน) (คลองบางกอกน้อย - เชิงสะพานสะพาน 8)"/>
    <n v="4"/>
    <s v="BKK1"/>
    <n v="2570"/>
    <d v="2026-10-31T00:00:00"/>
    <d v="2027-04-30T00:00:00"/>
    <s v="Wait Duct (NT)"/>
    <s v="ลงใต้ดิน"/>
    <s v="yes"/>
    <n v="342000"/>
    <n v="220020"/>
    <s v="Request"/>
    <s v="13.761383025574109, 100.48267144386014"/>
    <s v="13.769583497524769, 100.49599458599297"/>
    <s v="60C"/>
    <m/>
    <m/>
    <n v="4.3999999999999995"/>
    <m/>
    <m/>
    <n v="0"/>
    <n v="8"/>
    <n v="0"/>
    <n v="0"/>
    <n v="3.8"/>
    <n v="0.6"/>
    <n v="4.3999999999999995"/>
    <x v="4"/>
    <x v="1"/>
  </r>
  <r>
    <n v="64"/>
    <s v="กรุงเทพมหานครและปริมณฑล"/>
    <s v="กรุงเทพมหานคร"/>
    <s v="หักเสาไฟฟ้า"/>
    <s v="UG69/OTH/0028"/>
    <s v="ถนนอรุณอมรินทร์ ช่วงที่ 1 (2 ฝั่งถนน) (ถนนประชาธิปก - คลองบางกอกน้อย)"/>
    <n v="7"/>
    <s v="BKK1"/>
    <n v="2570"/>
    <d v="2026-10-31T00:00:00"/>
    <d v="2027-04-30T00:00:00"/>
    <s v="Wait Duct (NT)"/>
    <s v="ลงใต้ดิน"/>
    <s v="yes"/>
    <n v="598500"/>
    <n v="387929.99999999994"/>
    <s v="Request"/>
    <s v="13.734311884147507, 100.495841100084"/>
    <s v="13.761383025574109, 100.48267144386014"/>
    <s v="60C"/>
    <m/>
    <m/>
    <n v="7.6999999999999993"/>
    <m/>
    <m/>
    <n v="0"/>
    <n v="8"/>
    <n v="0"/>
    <n v="0"/>
    <n v="6.6499999999999995"/>
    <n v="1.05"/>
    <n v="7.6999999999999993"/>
    <x v="4"/>
    <x v="1"/>
  </r>
  <r>
    <n v="65"/>
    <s v="กรุงเทพมหานครและปริมณฑล"/>
    <s v="กรุงเทพมหานคร"/>
    <s v="หักเสาไฟฟ้า"/>
    <s v="UG69/MSN/0012"/>
    <s v="ถนนเพชรเกษม (2 ฝั่งถนน) (ถนนราษพฤกษ์ - ถนนพุทธมณฑลสาย 1)"/>
    <n v="6.6"/>
    <s v="BKK1"/>
    <n v="2570"/>
    <d v="2026-12-31T00:00:00"/>
    <d v="2027-05-05T00:00:00"/>
    <s v="Wait Duct (NT)"/>
    <s v="ลงใต้ดิน"/>
    <s v="no"/>
    <n v="1128600"/>
    <n v="729540"/>
    <s v="Request"/>
    <s v="13.720709494464097, 100.45810571288538"/>
    <s v="13.712442672460654, 100.42853458862193"/>
    <s v="60C"/>
    <m/>
    <m/>
    <n v="7.26"/>
    <m/>
    <m/>
    <n v="0"/>
    <n v="8"/>
    <n v="0"/>
    <n v="0"/>
    <n v="6.27"/>
    <n v="0.98999999999999988"/>
    <n v="7.26"/>
    <x v="4"/>
    <x v="1"/>
  </r>
  <r>
    <n v="66"/>
    <s v="กรุงเทพมหานครและปริมณฑล"/>
    <s v="กรุงเทพมหานคร"/>
    <s v="หักเสาไฟฟ้า"/>
    <s v="UG68/MSN/0024"/>
    <s v="ถนนพุทธมณฑลสาย 1 ช่วงที่ 2 (2 ฝั่งถนน) (พระเทพตัดใหม่ - เลียบทางรถไฟสายใต้)"/>
    <n v="10"/>
    <s v="BKK1"/>
    <n v="2570"/>
    <d v="2026-12-31T00:00:00"/>
    <d v="2027-05-17T00:00:00"/>
    <s v="Wait Duct (NT)"/>
    <s v="ลงใต้ดิน"/>
    <s v="yes"/>
    <n v="855000"/>
    <n v="550050"/>
    <s v="Request"/>
    <s v="13.753574880218858, 100.42731599609787"/>
    <s v="13.79881929259296, 100.42620183919459"/>
    <s v="60C"/>
    <m/>
    <m/>
    <n v="11"/>
    <m/>
    <m/>
    <n v="0"/>
    <n v="8"/>
    <n v="0"/>
    <n v="0"/>
    <n v="9.5"/>
    <n v="1.5"/>
    <n v="11"/>
    <x v="4"/>
    <x v="0"/>
  </r>
  <r>
    <n v="67"/>
    <s v="กรุงเทพมหานครและปริมณฑล"/>
    <s v="กรุงเทพมหานคร"/>
    <s v="หักเสาไฟฟ้า"/>
    <s v="UG69/MSN/0006"/>
    <s v="ถนนพระราม 9 ช่วงที่ 2 (2 ฝั่งถนน) (คลองชวดใหญ่ - แยกรามคำแหง)"/>
    <n v="5.4"/>
    <s v="BKK3"/>
    <n v="2570"/>
    <d v="2026-12-31T00:00:00"/>
    <d v="2027-05-18T00:00:00"/>
    <s v="Wait Duct (NT)"/>
    <s v="ลงใต้ดิน"/>
    <s v="no"/>
    <n v="1102950"/>
    <n v="602159.99999999988"/>
    <s v="Request"/>
    <s v="13.754864464443239, 100.58105671390848"/>
    <s v="13.74738787806981, 100.60562027192252"/>
    <s v="144C"/>
    <m/>
    <m/>
    <m/>
    <n v="5.9399999999999995"/>
    <m/>
    <n v="0"/>
    <n v="0"/>
    <n v="8"/>
    <n v="0"/>
    <n v="5.13"/>
    <n v="0.81"/>
    <n v="5.9399999999999995"/>
    <x v="4"/>
    <x v="1"/>
  </r>
  <r>
    <n v="68"/>
    <s v="กรุงเทพมหานครและปริมณฑล"/>
    <s v="กรุงเทพมหานคร,นนทบุรี"/>
    <s v="หักเสาไฟฟ้า"/>
    <s v="UG69/MSN/0008"/>
    <s v="ถนนแจ้งวัฒนะ ช่วงที่ 3/1 (2 ฝั่งถนน) (คลองประปา - ถนนวิภาวดี-รังสิต)"/>
    <n v="6"/>
    <s v="BKK2"/>
    <n v="2570"/>
    <d v="2026-12-31T00:00:00"/>
    <d v="2027-05-19T00:00:00"/>
    <s v="Wait Duct (NT)"/>
    <s v="ลงใต้ดิน"/>
    <s v="no"/>
    <n v="1225499.9999999998"/>
    <n v="660060"/>
    <s v="Request"/>
    <s v="13.89530513640685, 100.55428581935875"/>
    <s v="13.884289395891543, 100.58168848808198"/>
    <s v="144C"/>
    <m/>
    <m/>
    <m/>
    <n v="6.6"/>
    <m/>
    <n v="0"/>
    <n v="0"/>
    <n v="8"/>
    <n v="0"/>
    <n v="5.6999999999999993"/>
    <n v="0.89999999999999991"/>
    <n v="6.6"/>
    <x v="4"/>
    <x v="0"/>
  </r>
  <r>
    <n v="69"/>
    <s v="กรุงเทพมหานครและปริมณฑล"/>
    <s v="กรุงเทพมหานคร"/>
    <s v="หักเสาไฟฟ้า"/>
    <s v="UG68/MSN/0001"/>
    <s v="ถนนพระราม 3 ช่วงที่ 1 (2 ฝั่งถนน) (แยกคลองเตย - สะพานภูมิพล)"/>
    <n v="12.6"/>
    <s v="BKK4"/>
    <n v="2570"/>
    <d v="2026-10-31T00:00:00"/>
    <d v="2027-05-24T00:00:00"/>
    <s v="Wait Duct (NT)"/>
    <s v="ลงใต้ดิน"/>
    <s v="yes"/>
    <n v="1286774.9999999998"/>
    <n v="694800"/>
    <s v="Request"/>
    <s v="13.720230576746575, 100.55911165911864"/>
    <s v="13.670573996716708, 100.5387166486538"/>
    <s v="144C"/>
    <m/>
    <m/>
    <m/>
    <n v="13.86"/>
    <m/>
    <n v="0"/>
    <n v="0"/>
    <n v="8"/>
    <n v="0"/>
    <n v="11.969999999999999"/>
    <n v="1.89"/>
    <n v="13.86"/>
    <x v="4"/>
    <x v="0"/>
  </r>
  <r>
    <n v="70"/>
    <s v="กรุงเทพมหานครและปริมณฑล"/>
    <s v="กรุงเทพมหานคร"/>
    <s v="หักเสาไฟฟ้า"/>
    <s v="UG69/MSN/0009"/>
    <s v="ถนนแจ้งวัฒนะ ช่วงที่ 4 (2 ฝั่งถนน) (ถนนวิภาวดี-รังสิต - ถนนพหลโยธิน)"/>
    <n v="3.6"/>
    <s v="BKK2"/>
    <n v="2570"/>
    <d v="2026-10-31T00:00:00"/>
    <d v="2027-06-02T00:00:00"/>
    <s v="Wait Duct (NT)"/>
    <s v="ลงใต้ดิน"/>
    <s v="no"/>
    <n v="735300"/>
    <n v="405300"/>
    <s v="Request"/>
    <s v="13.884289395891543, 100.58168848808198"/>
    <s v="13.875983265434332, 100.5962550556618"/>
    <s v="144C"/>
    <m/>
    <m/>
    <m/>
    <n v="3.96"/>
    <m/>
    <n v="0"/>
    <n v="0"/>
    <n v="7"/>
    <n v="0"/>
    <n v="3.42"/>
    <n v="0.54"/>
    <n v="3.96"/>
    <x v="4"/>
    <x v="0"/>
  </r>
  <r>
    <n v="71"/>
    <s v="กรุงเทพมหานครและปริมณฑล"/>
    <s v="กรุงเทพมหานคร"/>
    <s v="หักเสาไฟฟ้า"/>
    <s v="UG69/MSN/0013"/>
    <s v="ถนนศรีนครินทร์ ช่วงที่ 2 (2 ฝั่งถนน) (ถนนอ่อนนุช - ถนนบางนา-ตราด)"/>
    <n v="10.6"/>
    <s v="BKK3"/>
    <n v="2570"/>
    <d v="2026-12-31T00:00:00"/>
    <d v="2027-06-21T00:00:00"/>
    <s v="Wait Duct (NT)"/>
    <s v="ลงใต้ดิน"/>
    <s v="yes"/>
    <n v="1082524.9999999998"/>
    <n v="584790"/>
    <s v="Request"/>
    <s v="13.712747549388109, 100.64380351741858"/>
    <s v="13.665775567115967, 100.64442178038604"/>
    <s v="144C"/>
    <m/>
    <m/>
    <m/>
    <n v="11.659999999999998"/>
    <m/>
    <n v="0"/>
    <n v="0"/>
    <n v="8"/>
    <n v="0"/>
    <n v="10.069999999999999"/>
    <n v="1.5899999999999999"/>
    <n v="11.659999999999998"/>
    <x v="4"/>
    <x v="0"/>
  </r>
  <r>
    <n v="72"/>
    <s v="กรุงเทพมหานครและปริมณฑล"/>
    <s v="กรุงเทพมหานคร"/>
    <s v="หักเสาไฟฟ้า"/>
    <s v="UG68/MSN/0015"/>
    <s v="ถนนพุทธมณฑลสาย 1 ช่วงที่ 1 (2 ฝั่งถนน) (ถนนเพชรเกษม - ถนนพระเทพตัดใหม่)"/>
    <n v="9.1"/>
    <s v="BKK1"/>
    <n v="2570"/>
    <d v="2026-12-31T00:00:00"/>
    <d v="2027-06-25T00:00:00"/>
    <s v="Wait Duct (NT)"/>
    <s v="ลงใต้ดิน"/>
    <s v="yes"/>
    <n v="778050"/>
    <n v="503730"/>
    <s v="Request"/>
    <s v="13.712442672460654, 100.42853458862193"/>
    <s v="13.753574880218858, 100.42731599609787"/>
    <s v="60C"/>
    <m/>
    <m/>
    <n v="10.01"/>
    <m/>
    <m/>
    <n v="0"/>
    <n v="8"/>
    <n v="0"/>
    <n v="0"/>
    <n v="8.6449999999999996"/>
    <n v="1.365"/>
    <n v="10.01"/>
    <x v="4"/>
    <x v="1"/>
  </r>
  <r>
    <n v="73"/>
    <s v="กรุงเทพมหานครและปริมณฑล"/>
    <s v="กรุงเทพมหานคร"/>
    <s v="หักเสาไฟฟ้า"/>
    <s v="UG69/MSN/0011"/>
    <s v="ถนนเพชรเกษม (2 ฝั่งถนน) (ถนนพุทธมณฑลสาย 1 -ถนนกาญจนาภิเษก)"/>
    <n v="4.2"/>
    <s v="BKK1"/>
    <n v="2570"/>
    <d v="2027-03-31T00:00:00"/>
    <d v="2027-07-27T00:00:00"/>
    <s v="Wait Duct (NT)"/>
    <s v="ลงใต้ดิน"/>
    <s v="no"/>
    <n v="718200"/>
    <n v="463200"/>
    <s v="Request"/>
    <s v="13.712442672460654, 100.42853458862193"/>
    <s v="13.710662902290956, 100.40597525539593"/>
    <s v="60C"/>
    <m/>
    <m/>
    <n v="4.62"/>
    <m/>
    <m/>
    <n v="0"/>
    <n v="8"/>
    <n v="0"/>
    <n v="0"/>
    <n v="3.9899999999999998"/>
    <n v="0.63"/>
    <n v="4.62"/>
    <x v="5"/>
    <x v="1"/>
  </r>
  <r>
    <n v="74"/>
    <s v="กรุงเทพมหานครและปริมณฑล"/>
    <s v="กรุงเทพมหานคร,สมุทรปราการ"/>
    <s v="หักเสาไฟฟ้า"/>
    <s v="UG69/MSN/0004"/>
    <s v="ถนนศรีนครินทร์ ช่วงที่ 3 (2 ฝั่งถนน) (ถนนบางนา-ตราด - แยกศรีเทพา)"/>
    <n v="9.4"/>
    <s v="BKK3"/>
    <n v="2570"/>
    <d v="2026-12-31T00:00:00"/>
    <d v="2027-09-20T00:00:00"/>
    <s v="Wait Duct (NT)"/>
    <s v="ลงใต้ดิน"/>
    <s v="yes"/>
    <n v="959975"/>
    <n v="521100"/>
    <s v="Request"/>
    <s v="13.665990630527826, 100.64440222542729"/>
    <s v="13.627650297263113, 100.62689861016285"/>
    <s v="144C"/>
    <m/>
    <m/>
    <m/>
    <n v="10.34"/>
    <m/>
    <n v="0"/>
    <n v="0"/>
    <n v="8"/>
    <n v="0"/>
    <n v="8.93"/>
    <n v="1.41"/>
    <n v="10.34"/>
    <x v="5"/>
    <x v="1"/>
  </r>
  <r>
    <n v="75"/>
    <s v="กรุงเทพมหานครและปริมณฑล"/>
    <s v="กรุงเทพมหานคร"/>
    <s v="หักเสาไฟฟ้า"/>
    <s v="UG69/MSN/0003"/>
    <s v="ถนนรามอินทรา (2 ฝั่งถนน) (วงเวียนวัดพระศรีฯ - แยกคู้บอน)"/>
    <n v="16.2"/>
    <s v="BKK2"/>
    <n v="2570"/>
    <d v="2026-12-31T00:00:00"/>
    <d v="2027-09-27T00:00:00"/>
    <s v="Wait Duct (NT)"/>
    <s v="ลงใต้ดิน"/>
    <s v="yes"/>
    <n v="1654424.9999999998"/>
    <n v="891660"/>
    <s v="Request"/>
    <s v="13.87492777929034, 100.59709659605444"/>
    <s v="13.839129430098923, 100.66159612076964"/>
    <s v="144C"/>
    <m/>
    <m/>
    <m/>
    <n v="17.82"/>
    <m/>
    <n v="0"/>
    <n v="0"/>
    <n v="8"/>
    <n v="0"/>
    <n v="15.389999999999999"/>
    <n v="2.4299999999999997"/>
    <n v="17.82"/>
    <x v="4"/>
    <x v="1"/>
  </r>
  <r>
    <n v="76"/>
    <s v="กรุงเทพมหานครและปริมณฑล"/>
    <s v="กรุงเทพมหานคร"/>
    <s v="หักเสาไฟฟ้า"/>
    <s v="UG69/MSN/0014"/>
    <s v="ถนนรามอินทรา (แยกคู้บอน - คลองสามวา)"/>
    <n v="17"/>
    <s v="BKK3"/>
    <n v="2570"/>
    <d v="2026-12-31T00:00:00"/>
    <d v="2027-09-27T00:00:00"/>
    <s v="Wait Duct (NT)"/>
    <s v="ลงใต้ดิน"/>
    <s v="yes"/>
    <n v="1236250"/>
    <n v="665850"/>
    <s v="Request"/>
    <s v="13.839129430098923, 100.66159612076964"/>
    <s v="13.812506975237836, 100.72979212876209"/>
    <s v="144C"/>
    <m/>
    <m/>
    <m/>
    <n v="14.05"/>
    <m/>
    <n v="0"/>
    <n v="0"/>
    <n v="8"/>
    <n v="0"/>
    <n v="11.5"/>
    <n v="2.5499999999999998"/>
    <n v="14.05"/>
    <x v="4"/>
    <x v="1"/>
  </r>
  <r>
    <n v="77"/>
    <s v="กรุงเทพมหานครและปริมณฑล"/>
    <s v="นนทบุรี"/>
    <s v="หักเสาไฟฟ้า"/>
    <s v="UG69/MSN/0015"/>
    <s v="ถนนแจ้งวัฒนะ ช่วงที่ 3/2 (ทางพิเศษศรีรัช - คลองประปา)"/>
    <n v="2.6"/>
    <s v="BKK2"/>
    <n v="2570"/>
    <d v="2026-09-30T00:00:00"/>
    <d v="2027-10-19T00:00:00"/>
    <s v="Wait Duct (NT)"/>
    <s v="ลงใต้ดิน"/>
    <s v="no"/>
    <n v="531050"/>
    <n v="289500"/>
    <s v="Request"/>
    <s v="13.899372925390463, 100.54277034556605"/>
    <s v="13.895382174855305, 100.55454104855691"/>
    <s v="144C"/>
    <m/>
    <m/>
    <m/>
    <n v="2.86"/>
    <m/>
    <n v="0"/>
    <n v="0"/>
    <n v="6"/>
    <n v="0"/>
    <n v="2.4699999999999998"/>
    <n v="0.39"/>
    <n v="2.86"/>
    <x v="5"/>
    <x v="2"/>
  </r>
  <r>
    <n v="78"/>
    <s v="กรุงเทพมหานครและปริมณฑล"/>
    <s v="กรุงเทพมหานคร"/>
    <s v="หักเสาไฟฟ้า"/>
    <s v="UG68/OTH/0005"/>
    <s v="ถนนงามวงศ์วาน ช่วงที่ 3 (2 ฝั่งถนน) (แยกตัดถนนวิภาวดี - พหลโยธิน)"/>
    <n v="3.5"/>
    <s v="BKK2"/>
    <n v="2570"/>
    <d v="2026-12-31T00:00:00"/>
    <d v="2027-10-25T00:00:00"/>
    <s v="Wait Duct (NT)"/>
    <s v="ลงใต้ดิน"/>
    <s v="no"/>
    <n v="714875"/>
    <n v="393720"/>
    <s v="Request"/>
    <s v="13.84758785765959, 100.56152134861307"/>
    <s v="13.839737739827928, 100.5755610146902"/>
    <s v="144C"/>
    <m/>
    <m/>
    <m/>
    <n v="3.8499999999999996"/>
    <m/>
    <n v="0"/>
    <n v="0"/>
    <n v="7"/>
    <n v="0"/>
    <n v="3.3249999999999997"/>
    <n v="0.52500000000000002"/>
    <n v="3.8499999999999996"/>
    <x v="5"/>
    <x v="0"/>
  </r>
  <r>
    <n v="79"/>
    <s v="กรุงเทพมหานครและปริมณฑล"/>
    <s v="กรุงเทพมหานคร"/>
    <s v="หักเสาไฟฟ้า"/>
    <s v="UG69/MSN/0010"/>
    <s v="ถนนประชาราษฎร์สาย 1 (2 ฝั่งถนน) (แยกบางโพ - สะพานพระราม 7)"/>
    <n v="3.4"/>
    <s v="BKK2"/>
    <n v="2570"/>
    <d v="2027-07-31T00:00:00"/>
    <d v="2027-11-15T00:00:00"/>
    <s v="Wait Duct (NT)"/>
    <s v="ลงใต้ดิน"/>
    <s v="no"/>
    <n v="694450"/>
    <n v="382140.00000000006"/>
    <s v="Request"/>
    <s v="13.806374028743074, 100.52159482948991"/>
    <s v="13.817186370340337, 100.52002635049807"/>
    <s v="144C"/>
    <m/>
    <m/>
    <m/>
    <n v="3.74"/>
    <m/>
    <n v="0"/>
    <n v="0"/>
    <n v="7"/>
    <n v="0"/>
    <n v="3.23"/>
    <n v="0.51"/>
    <n v="3.74"/>
    <x v="5"/>
    <x v="3"/>
  </r>
  <r>
    <n v="80"/>
    <s v="กรุงเทพมหานครและปริมณฑล"/>
    <s v="สมุทรปราการ"/>
    <s v="หักเสาไฟฟ้า"/>
    <s v="UG68/MSN/0008"/>
    <s v="ถนนสุขุมวิท ช่วงที่ 3 (2 ฝั่งถนน) (ถนนกาญจนาภิเษก - ถนนแพรกษา)"/>
    <n v="11.4"/>
    <s v="BKK3"/>
    <n v="2570"/>
    <d v="2027-07-31T00:00:00"/>
    <d v="2027-11-30T00:00:00"/>
    <s v="Wait Duct (NT)"/>
    <s v="ลงใต้ดิน"/>
    <s v="yes"/>
    <n v="1164225"/>
    <n v="631110"/>
    <s v="Request"/>
    <s v="13.630168405977164, 100.58884218710807"/>
    <s v="13.586975044752382, 100.60888850297216"/>
    <s v="144C"/>
    <m/>
    <m/>
    <m/>
    <n v="12.54"/>
    <m/>
    <n v="0"/>
    <n v="0"/>
    <n v="8"/>
    <n v="0"/>
    <n v="10.83"/>
    <n v="1.71"/>
    <n v="12.54"/>
    <x v="5"/>
    <x v="1"/>
  </r>
  <r>
    <n v="81"/>
    <s v="กรุงเทพมหานครและปริมณฑล"/>
    <s v="กรุงเทพมหานคร"/>
    <s v="หักเสาไฟฟ้า"/>
    <s v="UG68/MSN/0019"/>
    <s v="ถนนพระรามที่ 3 ช่วงที่ 2 (2 ฝั่งถนน) (สะพานภูมิพล - ถนนตก)"/>
    <n v="11"/>
    <s v="BKK4"/>
    <n v="2570"/>
    <d v="2027-07-31T00:00:00"/>
    <d v="2027-11-30T00:00:00"/>
    <s v="Wait Duct (NT)"/>
    <s v="ลงใต้ดิน"/>
    <s v="yes"/>
    <n v="940499.99999999988"/>
    <n v="607950"/>
    <s v="Request"/>
    <s v="13.673126085107658, 100.53890823707515"/>
    <s v="13.697198297224833, 100.49698595233737"/>
    <s v="60C"/>
    <m/>
    <m/>
    <n v="12.1"/>
    <m/>
    <m/>
    <n v="0"/>
    <n v="8"/>
    <n v="0"/>
    <n v="0"/>
    <n v="10.45"/>
    <n v="1.65"/>
    <n v="12.1"/>
    <x v="5"/>
    <x v="0"/>
  </r>
  <r>
    <n v="82"/>
    <s v="กรุงเทพมหานครและปริมณฑล"/>
    <s v="กรุงเทพมหานคร"/>
    <s v="หักเสาไฟฟ้า"/>
    <s v="UG68/MSN/0018"/>
    <s v="ถนนเจริญกรุง (2 ฝั่งถนน) (คลองผลุงกรุงเกษม -แยกสี่กั๊กพระยาศรี)"/>
    <n v="4.5999999999999996"/>
    <s v="BKK4"/>
    <n v="2570"/>
    <d v="2027-09-30T00:00:00"/>
    <d v="2027-12-01T00:00:00"/>
    <s v="Wait Duct (NT)"/>
    <s v="ลงใต้ดิน"/>
    <s v="yes"/>
    <n v="393299.99999999994"/>
    <n v="254759.99999999994"/>
    <s v="Request"/>
    <s v="13.747233373703788, 100.49765281176246"/>
    <s v="13.738003031794989, 100.51550915208331"/>
    <s v="60C"/>
    <m/>
    <m/>
    <n v="5.0599999999999987"/>
    <m/>
    <m/>
    <n v="0"/>
    <n v="8"/>
    <n v="0"/>
    <n v="0"/>
    <n v="4.3699999999999992"/>
    <n v="0.69"/>
    <n v="5.0599999999999987"/>
    <x v="5"/>
    <x v="0"/>
  </r>
  <r>
    <n v="83"/>
    <s v="กรุงเทพมหานครและปริมณฑล"/>
    <s v="กรุงเทพมหานคร"/>
    <s v="หักเสาไฟฟ้า"/>
    <s v="UG68/MSN/0013"/>
    <s v="ถนนพระเทพตัดใหม่ (2 ฝั่งถนน) (สี่แยกไฟฉาย - ถนนกาญจนาภิเษก)"/>
    <n v="14"/>
    <s v="BKK1"/>
    <n v="2570"/>
    <d v="2027-06-30T00:00:00"/>
    <d v="2027-12-07T00:00:00"/>
    <s v="Wait Duct (NT)"/>
    <s v="ลงใต้ดิน+Re-route"/>
    <s v="yes"/>
    <n v="1197000"/>
    <n v="770070"/>
    <s v="Request"/>
    <s v="13.754833084923735, 100.46935875678437"/>
    <s v="13.754392915667289, 100.40580883168056"/>
    <s v="60C"/>
    <m/>
    <m/>
    <n v="15.399999999999999"/>
    <m/>
    <m/>
    <n v="0"/>
    <n v="8"/>
    <n v="0"/>
    <n v="0"/>
    <n v="13.299999999999999"/>
    <n v="2.1"/>
    <n v="15.399999999999999"/>
    <x v="5"/>
    <x v="0"/>
  </r>
  <r>
    <n v="84"/>
    <s v="กรุงเทพมหานครและปริมณฑล"/>
    <s v="กรุงเทพมหานคร"/>
    <s v="หักเสาไฟฟ้า"/>
    <s v="UG68/MSN/0016"/>
    <s v="ถนนประชาอุทิศ (2 ฝั่งถนน) (ซอยยอดทอง - เทียมร่วมมิตร)"/>
    <n v="2.2000000000000002"/>
    <s v="BKK2"/>
    <n v="2570"/>
    <d v="2027-09-30T00:00:00"/>
    <d v="2027-12-07T00:00:00"/>
    <s v="Wait Duct (NT)"/>
    <s v="ลงใต้ดิน"/>
    <s v="yes"/>
    <n v="188100"/>
    <n v="121590"/>
    <s v="Request"/>
    <s v="13.771411786582167, 100.58319567528908"/>
    <s v="13.769062391315767, 100.59290692530479"/>
    <s v="60C"/>
    <m/>
    <m/>
    <n v="2.42"/>
    <m/>
    <m/>
    <n v="0"/>
    <n v="6"/>
    <n v="0"/>
    <n v="0"/>
    <n v="2.09"/>
    <n v="0.33"/>
    <n v="2.42"/>
    <x v="5"/>
    <x v="0"/>
  </r>
  <r>
    <n v="85"/>
    <s v="กรุงเทพมหานครและปริมณฑล"/>
    <s v="นนทบุรี"/>
    <s v="หักเสาไฟฟ้า"/>
    <s v="UG69/MSN/0015"/>
    <s v="ถนนแจ้งวัฒนะ ช่วงที่ 3/2 (ทางพิเศษศรีรัช - คลองประปา)"/>
    <n v="2.6"/>
    <s v="BKK2"/>
    <n v="2570"/>
    <d v="2026-09-30T00:00:00"/>
    <d v="2027-10-19T00:00:00"/>
    <s v="Wait Duct (NT)"/>
    <s v="ลงใต้ดิน"/>
    <s v="no"/>
    <n v="531050"/>
    <n v="289500"/>
    <s v="Request"/>
    <s v="13.899370185812154, 100.54277691745018"/>
    <s v="13.895298639191186, 100.55433576173502"/>
    <s v="144C"/>
    <m/>
    <m/>
    <m/>
    <n v="2.86"/>
    <m/>
    <n v="0"/>
    <n v="0"/>
    <n v="6"/>
    <n v="0"/>
    <n v="2.4699999999999998"/>
    <n v="0.39"/>
    <n v="2.86"/>
    <x v="5"/>
    <x v="2"/>
  </r>
  <r>
    <n v="86"/>
    <s v="กรุงเทพมหานครและปริมณฑล"/>
    <s v="กรุงเทพมหานคร"/>
    <s v="หักเสาไฟฟ้า"/>
    <s v="UG66/OTH/0007"/>
    <s v="ถนนราชปรารภ (2 ฝั่งถนน) (ทางรถไฟ - สามเหลี่ยมดินแดง)"/>
    <n v="1.8"/>
    <s v="BKK4"/>
    <n v="2571"/>
    <d v="2027-06-30T00:00:00"/>
    <d v="2028-01-31T00:00:00"/>
    <s v="Wait Duct (NT)"/>
    <s v="ลงใต้ดิน"/>
    <s v="no"/>
    <n v="367650"/>
    <n v="208440"/>
    <s v="Request"/>
    <s v="13.754867913663, 100.54216825713313"/>
    <s v="13.762858984447334, 100.54275656304196"/>
    <s v="144C"/>
    <m/>
    <m/>
    <m/>
    <n v="1.98"/>
    <m/>
    <n v="0"/>
    <n v="0"/>
    <n v="5"/>
    <n v="0"/>
    <n v="1.71"/>
    <n v="0.27"/>
    <n v="1.98"/>
    <x v="5"/>
    <x v="2"/>
  </r>
  <r>
    <n v="87"/>
    <s v="กรุงเทพมหานครและปริมณฑล"/>
    <s v="กรุงเทพมหานคร"/>
    <s v="หักเสาไฟฟ้า"/>
    <s v="UG70/MSN/0001"/>
    <s v="ถนนพหลโยธิน 3 (2 ฝั่งถนน) (อนุสาวรีย์ หลักสี่ - แยก คปอ.)"/>
    <n v="13"/>
    <s v="BKK2"/>
    <n v="2571"/>
    <d v="2027-09-30T00:00:00"/>
    <d v="2028-01-31T00:00:00"/>
    <s v="Wait Duct (NT)"/>
    <s v="ลงใต้ดิน"/>
    <s v="yes"/>
    <n v="1327625"/>
    <n v="717960"/>
    <s v="Request"/>
    <s v="13.876485304626145, 100.59728724972366"/>
    <s v="13.923555252952413, 100.6250356779664"/>
    <s v="144C"/>
    <m/>
    <m/>
    <m/>
    <n v="14.299999999999999"/>
    <m/>
    <n v="0"/>
    <n v="0"/>
    <n v="8"/>
    <n v="0"/>
    <n v="12.35"/>
    <n v="1.95"/>
    <n v="14.299999999999999"/>
    <x v="5"/>
    <x v="2"/>
  </r>
  <r>
    <n v="88"/>
    <s v="กรุงเทพมหานครและปริมณฑล"/>
    <s v="นนทบุรี"/>
    <s v="หักเสาไฟฟ้า"/>
    <s v="UG69/MSN/0002"/>
    <s v="ถนนรัตนาธิเบศร์ ช่วงที่ 2 (2 ฝั่งถนน) (สะพานพระนั่งเกล้า - ถนนกาญจนาภิเษก)"/>
    <n v="14"/>
    <s v="BKK1"/>
    <n v="2571"/>
    <d v="2027-10-30T00:00:00"/>
    <d v="2028-02-28T00:00:00"/>
    <s v="Wait Duct (NT)"/>
    <s v="ลงใต้ดิน"/>
    <s v="yes"/>
    <n v="1429750"/>
    <n v="770070"/>
    <s v="Request"/>
    <s v="13.870321109909677, 100.47486087670299"/>
    <s v="13.874347962981581, 100.40995062564704"/>
    <s v="144C"/>
    <m/>
    <m/>
    <m/>
    <n v="15.399999999999999"/>
    <m/>
    <n v="0"/>
    <n v="0"/>
    <n v="8"/>
    <n v="0"/>
    <n v="13.299999999999999"/>
    <n v="2.1"/>
    <n v="15.399999999999999"/>
    <x v="5"/>
    <x v="2"/>
  </r>
  <r>
    <n v="89"/>
    <s v="กรุงเทพมหานครและปริมณฑล"/>
    <s v="นนทบุรี"/>
    <s v="หักเสาไฟฟ้า"/>
    <s v="UG70/MSN/0002"/>
    <s v="ถนนแจ้งวัฒนะ ช่วงที่ 1 (2 ฝั่งถนน) (ท่าน้ำปากเกร็ด - ห้าแยกปากเกร็ด)"/>
    <n v="2.8"/>
    <s v="BKK2"/>
    <n v="2571"/>
    <d v="2027-09-30T00:00:00"/>
    <d v="2028-02-28T00:00:00"/>
    <s v="Wait Duct (NT)"/>
    <s v="ลงใต้ดิน"/>
    <s v="no"/>
    <n v="571899.99999999988"/>
    <n v="312660"/>
    <s v="Request"/>
    <s v="13.91521504752149, 100.49460184504767"/>
    <s v="13.907504735008951, 100.50425781577174"/>
    <s v="144C"/>
    <m/>
    <m/>
    <m/>
    <n v="3.0799999999999996"/>
    <m/>
    <n v="0"/>
    <n v="0"/>
    <n v="7"/>
    <n v="0"/>
    <n v="2.6599999999999997"/>
    <n v="0.42"/>
    <n v="3.0799999999999996"/>
    <x v="5"/>
    <x v="2"/>
  </r>
  <r>
    <n v="90"/>
    <s v="กรุงเทพมหานครและปริมณฑล"/>
    <s v="สมุทรปราการ"/>
    <s v="หักเสาไฟฟ้า"/>
    <s v="UG70/MSN/0003"/>
    <s v="ถนนสุขุมวิท ช่วงที่ 4 (2 ฝั่งถนน) (ถนนแพรกษา - ซอยเทศบาลบางปู 55)"/>
    <n v="8"/>
    <s v="BKK3"/>
    <n v="2571"/>
    <d v="2027-10-31T00:00:00"/>
    <d v="2028-03-20T00:00:00"/>
    <s v="Wait Duct (NT)"/>
    <s v="ลงใต้ดิน"/>
    <s v="yes"/>
    <n v="684000"/>
    <n v="440040"/>
    <s v="Request"/>
    <s v="13.586939758868697, 100.60890623719303"/>
    <s v="13.553833431509238, 100.61433951837395"/>
    <s v="60C"/>
    <m/>
    <m/>
    <n v="8.7999999999999989"/>
    <m/>
    <m/>
    <n v="0"/>
    <n v="8"/>
    <n v="0"/>
    <n v="0"/>
    <n v="7.6"/>
    <n v="1.2"/>
    <n v="8.7999999999999989"/>
    <x v="5"/>
    <x v="0"/>
  </r>
  <r>
    <n v="91"/>
    <s v="กรุงเทพมหานครและปริมณฑล"/>
    <s v="กรุงเทพมหานคร"/>
    <s v="หักเสาไฟฟ้า"/>
    <s v="UG70/MSN/0004"/>
    <s v="ถนนพระเทพตัดใหม่ (2 ฝั่งถนน) (ถนนกาญจนาภิเษก - คลองเนินทราย)"/>
    <n v="15.2"/>
    <s v="BKK1"/>
    <n v="2571"/>
    <d v="2027-12-31T00:00:00"/>
    <d v="2028-04-26T00:00:00"/>
    <s v="Wait Duct (NT)"/>
    <s v="ลงใต้ดิน"/>
    <s v="yes"/>
    <n v="917999.99999999988"/>
    <n v="590580"/>
    <s v="Request"/>
    <s v="13.754578506595195, 100.40585650135114"/>
    <s v="13.747895639271968, 100.33551919117184"/>
    <s v="60C"/>
    <m/>
    <m/>
    <n v="12.479999999999999"/>
    <m/>
    <m/>
    <n v="0"/>
    <n v="8"/>
    <n v="0"/>
    <n v="0"/>
    <n v="10.199999999999999"/>
    <n v="2.2799999999999998"/>
    <n v="12.479999999999999"/>
    <x v="5"/>
    <x v="0"/>
  </r>
  <r>
    <n v="92"/>
    <s v="กรุงเทพมหานครและปริมณฑล"/>
    <s v="กรุงเทพมหานคร"/>
    <s v="หักเสาไฟฟ้า"/>
    <s v="UG70/MSN/0005"/>
    <s v="ถนนรามคำแหง 2 (2 ฝั่งถนน) (แยกลำสาลี - ถนนร่มเกล้า)"/>
    <n v="22"/>
    <s v="BKK3"/>
    <n v="2571"/>
    <d v="2027-12-31T00:00:00"/>
    <d v="2028-07-31T00:00:00"/>
    <s v="Wait Duct (NT)"/>
    <s v="ลงใต้ดิน"/>
    <s v="yes"/>
    <n v="1612500"/>
    <n v="868500"/>
    <s v="Request"/>
    <s v="13.762698172726616, 100.64561491034252"/>
    <s v="13.81235267518258, 100.73685634680294"/>
    <s v="144C"/>
    <m/>
    <m/>
    <m/>
    <n v="18.3"/>
    <m/>
    <n v="0"/>
    <n v="0"/>
    <n v="8"/>
    <n v="0"/>
    <n v="15"/>
    <n v="3.3"/>
    <n v="18.3"/>
    <x v="5"/>
    <x v="2"/>
  </r>
  <r>
    <n v="93"/>
    <s v="กรุงเทพมหานครและปริมณฑล"/>
    <s v="กรุงเทพมหานคร"/>
    <s v="หักเสาไฟฟ้า"/>
    <s v="UG70/MSN/0006"/>
    <s v="ถนนรามคำแหง 3 (ถนนร่มเกล้า - ถนนสุวินทวงศ์)"/>
    <n v="2"/>
    <s v="BKK3"/>
    <n v="2571"/>
    <d v="2027-12-31T00:00:00"/>
    <d v="2028-07-31T00:00:00"/>
    <s v="Wait Duct (NT)"/>
    <s v="ลงใต้ดิน"/>
    <s v="yes"/>
    <n v="171000"/>
    <n v="110010"/>
    <s v="Request"/>
    <s v="13.81235267518258, 100.73685634680294"/>
    <s v="13.816630274507467, 100.74463060181766"/>
    <s v="60C"/>
    <m/>
    <m/>
    <n v="2.1999999999999997"/>
    <m/>
    <m/>
    <n v="0"/>
    <n v="6"/>
    <n v="0"/>
    <n v="0"/>
    <n v="1.9"/>
    <n v="0.3"/>
    <n v="2.1999999999999997"/>
    <x v="5"/>
    <x v="2"/>
  </r>
  <r>
    <n v="94"/>
    <s v="ต่างจังหวัด"/>
    <s v="เชียงใหม่"/>
    <s v="หักเสาไฟฟ้า"/>
    <s v="UG66/BC1/00052"/>
    <s v="Lot 2 ข้างหล่อ ราชเชียงแสน ถนนมูลเมองบางส่วน ถนนบำรุงบุรี (2 ฝั่งถนน)"/>
    <n v="4.5999999999999996"/>
    <s v="CMI"/>
    <n v="2569"/>
    <m/>
    <s v="รื้อถอน Q1/26"/>
    <s v="Done"/>
    <s v="ลงใต้ดิน+Re-route"/>
    <m/>
    <m/>
    <m/>
    <s v="Request"/>
    <s v="18.78121164255038, 98.97825360392451"/>
    <s v="18.780996167652162, 98.99254644309715"/>
    <s v="48C"/>
    <m/>
    <m/>
    <n v="2"/>
    <m/>
    <m/>
    <n v="0"/>
    <n v="5"/>
    <n v="0"/>
    <n v="0"/>
    <n v="0"/>
    <n v="2"/>
    <n v="2"/>
    <x v="1"/>
    <x v="1"/>
  </r>
  <r>
    <n v="95"/>
    <s v="ต่างจังหวัด"/>
    <s v="บุรีรัมย์"/>
    <s v="หักเสาไฟฟ้า"/>
    <s v="UG65/KNG/0012"/>
    <s v="ถนนทางหลวงหมายเลข 2445 ตั้งแต่ พระบรมราชานุเสาวรีย์ รัชกาลที่ 1 ถึง เรือนจำจังหวัดบุรีรัมย์ (2 ฝั่งถนน) (พระบรมราชานุเสาวรีย์ รัชกาลที่ ๑ - เรือนจำจังหวัดบุรีรัมย์)"/>
    <n v="2.4"/>
    <s v="NMA"/>
    <n v="2569"/>
    <m/>
    <s v="รื้อถอน Q1/26"/>
    <s v="Done"/>
    <s v="ลงใต้ดิน+Re-route"/>
    <m/>
    <m/>
    <m/>
    <s v="Approved"/>
    <s v="14.98680585899913, 103.10491864320177"/>
    <s v="14.975496605932166, 103.10561805606703"/>
    <s v="48C"/>
    <m/>
    <m/>
    <n v="2"/>
    <m/>
    <m/>
    <n v="0"/>
    <n v="5"/>
    <n v="0"/>
    <n v="0"/>
    <n v="0"/>
    <n v="2"/>
    <n v="2"/>
    <x v="3"/>
    <x v="1"/>
  </r>
  <r>
    <n v="96"/>
    <s v="ต่างจังหวัด"/>
    <s v="ลำปาง"/>
    <s v="หักเสาไฟฟ้า"/>
    <s v="UG66/KNG/0013"/>
    <s v="ถนนวังหม้อพัฒนา ถึงสำเภาทอง จ.ลำปาง (2 ฝั่งถนน)"/>
    <n v="2.6"/>
    <s v="CMI"/>
    <n v="2569"/>
    <m/>
    <s v="รื้อถอน Q1/26"/>
    <s v="n/a"/>
    <s v="ไม่มีโครงข่าย"/>
    <s v="no"/>
    <n v="0"/>
    <n v="0"/>
    <s v="n/a"/>
    <s v="18.314899752914442, 99.51911724088842"/>
    <s v="18.307546021692637, 99.51256767149468"/>
    <s v="n/a"/>
    <m/>
    <m/>
    <m/>
    <m/>
    <m/>
    <n v="0"/>
    <n v="0"/>
    <n v="0"/>
    <n v="0"/>
    <n v="0"/>
    <n v="0"/>
    <n v="0"/>
    <x v="2"/>
    <x v="4"/>
  </r>
  <r>
    <n v="97"/>
    <s v="ต่างจังหวัด"/>
    <s v="เชียงใหม่"/>
    <s v="หักเสาไฟฟ้า"/>
    <s v="UG66/BC1/00053"/>
    <s v="Lot 6 ถนนอารักษ์ ถนนบำรุงบุรี และศรีภูมิ (2 ฝั่งถนน)"/>
    <n v="6.8"/>
    <s v="CMI"/>
    <n v="2569"/>
    <m/>
    <s v="รื้อถอน Q1/26"/>
    <s v="n/a"/>
    <s v="ไม่มีโครงข่าย"/>
    <s v="no"/>
    <n v="0"/>
    <n v="0"/>
    <s v="n/a"/>
    <s v="18.795376707724497, 98.97873493605451"/>
    <s v="18.78201208325385, 98.97803797149466"/>
    <s v="n/a"/>
    <m/>
    <m/>
    <m/>
    <m/>
    <m/>
    <n v="0"/>
    <n v="0"/>
    <n v="0"/>
    <n v="0"/>
    <n v="0"/>
    <n v="0"/>
    <n v="0"/>
    <x v="2"/>
    <x v="4"/>
  </r>
  <r>
    <n v="98"/>
    <s v="ต่างจังหวัด"/>
    <s v="นครราชสีมา"/>
    <s v="หักเสาไฟฟ้า"/>
    <s v="UG65/BC1/0002"/>
    <s v="(lot 5) จังหวัดนครราชสีมา ถนนมนัส ถนนพลแสน ถนนยมราช ถนนอัษฎางค์ ถนนจอมพล ถนนมหาดไทยและถนนสรรพสิทธิ์ (2 ฝั่งถนน)"/>
    <n v="5.2"/>
    <s v="NMA"/>
    <n v="2569"/>
    <m/>
    <s v="รื้อถอน Q1/26"/>
    <s v="Done"/>
    <s v="ลงใต้ดิน+Re-route"/>
    <m/>
    <m/>
    <m/>
    <s v="Approved"/>
    <s v="14.979245626384941, 102.11145180281781"/>
    <s v="14.972322172755115, 102.1107222360621"/>
    <s v="48C"/>
    <m/>
    <m/>
    <n v="1"/>
    <m/>
    <m/>
    <n v="0"/>
    <n v="3"/>
    <n v="0"/>
    <n v="0"/>
    <n v="1"/>
    <n v="0"/>
    <n v="1"/>
    <x v="3"/>
    <x v="2"/>
  </r>
  <r>
    <n v="99"/>
    <s v="ต่างจังหวัด"/>
    <s v="เชียงใหม่"/>
    <s v="หักเสาไฟฟ้า"/>
    <s v="UG66/BC1/00054"/>
    <s v="Lot 7 ถนนอัษฎาธร ถนนมณีนพรัตน์ ถนนข้างเผือก ถนนหัสดีเสวี ถนนบุญเรืองฤทธิ์ ถนนมหิตล และถนนทิพย์เนตร (2 ฝั่งถนน)"/>
    <n v="9.68"/>
    <s v="CMI"/>
    <n v="2569"/>
    <m/>
    <s v="รื้อถอน Q1/26"/>
    <s v="Done"/>
    <s v="ลงใต้ดิน"/>
    <s v="Y"/>
    <m/>
    <m/>
    <s v="Request"/>
    <s v="18.795936714833697, 98.97797820290323"/>
    <s v="18.781818324082963, 98.97727009968271"/>
    <s v="144C"/>
    <m/>
    <m/>
    <m/>
    <n v="2"/>
    <m/>
    <n v="0"/>
    <n v="0"/>
    <n v="5"/>
    <n v="0"/>
    <n v="2"/>
    <n v="0"/>
    <n v="2"/>
    <x v="1"/>
    <x v="1"/>
  </r>
  <r>
    <n v="100"/>
    <s v="ต่างจังหวัด"/>
    <s v="เชียงราย"/>
    <s v="หักเสาไฟฟ้า"/>
    <s v="UG66/LCA/0004"/>
    <s v="ถนนธนาลัย ถนนรัตนาเขต ถนนบรรพปราการ (2 ฝั่งถนน)"/>
    <n v="10"/>
    <s v="CMI"/>
    <n v="2569"/>
    <m/>
    <s v="รื้อถอน Q1/26"/>
    <s v="Done"/>
    <s v="ลงใต้ดิน+Re-route"/>
    <m/>
    <m/>
    <m/>
    <s v="Request"/>
    <s v="19.908760369125446, 99.83067685406807"/>
    <s v="19.909070020709823, 99.84016537887467"/>
    <s v="24C"/>
    <m/>
    <n v="0.7"/>
    <m/>
    <m/>
    <m/>
    <n v="3"/>
    <n v="0"/>
    <n v="0"/>
    <n v="0"/>
    <n v="0.5"/>
    <n v="0.2"/>
    <n v="0.7"/>
    <x v="1"/>
    <x v="1"/>
  </r>
  <r>
    <n v="101"/>
    <s v="ต่างจังหวัด"/>
    <s v="นครราชสีมา"/>
    <s v="หักเสาไฟฟ้า"/>
    <s v="UG65/BC1/0001"/>
    <s v="(Lot 4) ถนนประจักษ์ ถนนไชยณรงค์ ถนนราชนิกูล ถนนราชดำเนิน ถนนพลแสน ถนนยมราช ถนนอัษฎางค์ ถนนจอมพล ถนนมหาดไทย (2 ฝั่งถนน)"/>
    <n v="9.6"/>
    <s v="NMA"/>
    <n v="2569"/>
    <m/>
    <s v="รื้อถอน Q1/26"/>
    <s v="n/a"/>
    <s v="ไม่มีโครงข่าย"/>
    <s v="no"/>
    <n v="0"/>
    <n v="0"/>
    <s v="n/a"/>
    <s v="14.973493368521664, 102.11072222556784"/>
    <s v="14.973617743393449, 102.11336152747383"/>
    <s v="n/a"/>
    <m/>
    <m/>
    <m/>
    <m/>
    <m/>
    <n v="0"/>
    <n v="0"/>
    <n v="0"/>
    <n v="0"/>
    <n v="0"/>
    <n v="0"/>
    <n v="0"/>
    <x v="2"/>
    <x v="4"/>
  </r>
  <r>
    <n v="102"/>
    <s v="ต่างจังหวัด"/>
    <s v="ภูเก็ต"/>
    <s v="ไม่หักเสาไฟฟ้า"/>
    <s v="UG65/LCA/0004"/>
    <s v="ถนนภูเก็ตส่วนที่เหลือ เขตย่านการค้าเมืองเก่า (2 ฝั่งถนน) (สะพานพระอร่าม - วงเวียนกระเฌอ)"/>
    <n v="3.44"/>
    <s v="PKT"/>
    <n v="2569"/>
    <m/>
    <s v="รื้อถอน Q2/26"/>
    <s v="Done"/>
    <s v="ลงใต้ดิน+Re-route"/>
    <m/>
    <m/>
    <m/>
    <s v="Approved"/>
    <s v="7.876817322161606, 98.39360041633508"/>
    <s v="7.8699411730779, 98.39419974451415"/>
    <s v="144C"/>
    <m/>
    <m/>
    <m/>
    <n v="3.2"/>
    <m/>
    <n v="0"/>
    <n v="0"/>
    <n v="7"/>
    <n v="0"/>
    <n v="1.2"/>
    <n v="2"/>
    <n v="3.2"/>
    <x v="0"/>
    <x v="2"/>
  </r>
  <r>
    <n v="103"/>
    <s v="ต่างจังหวัด"/>
    <s v="สงขลา"/>
    <s v="หักเสาไฟฟ้า"/>
    <s v="UG65/BC1/0034"/>
    <s v="ถนนราษฎร์ยินดี ช่วง 2 (2 ฝั่งถนน) (ถนนธรรมนูญวิถี - ถนนศุภสารรังสรรค์)"/>
    <n v="0.8"/>
    <s v="HYI"/>
    <n v="2569"/>
    <m/>
    <s v="รื้อถอน Q2/26"/>
    <s v="Done"/>
    <s v="ลงใต้ดิน+Re-route"/>
    <m/>
    <m/>
    <m/>
    <s v="Approved"/>
    <s v="6.997908096030113, 100.47010621323183"/>
    <s v="6.998356883377764, 100.47912817097277"/>
    <s v="144C"/>
    <m/>
    <m/>
    <m/>
    <n v="1.4"/>
    <m/>
    <n v="0"/>
    <n v="0"/>
    <n v="4"/>
    <n v="0"/>
    <n v="0.6"/>
    <n v="0.8"/>
    <n v="1.4"/>
    <x v="0"/>
    <x v="2"/>
  </r>
  <r>
    <n v="104"/>
    <s v="ต่างจังหวัด"/>
    <s v="เชียงใหม่"/>
    <s v="หักเสาไฟฟ้า"/>
    <s v="UG68/BC1/0001"/>
    <s v="Lot 3 ถนนราชภาคิมัย และถนนราชมรรคา (2 ฝั่งถนน)"/>
    <n v="6.4"/>
    <s v="CMI"/>
    <n v="2569"/>
    <m/>
    <s v="รื้อถอน Q2/26"/>
    <s v="Done"/>
    <s v="ลงใต้ดิน+Re-route"/>
    <m/>
    <m/>
    <m/>
    <s v="Request"/>
    <s v="18.781510007079742, 98.98988514478134"/>
    <s v="18.795177734879488, 98.99003821340695"/>
    <s v="เช่า Core NT"/>
    <m/>
    <m/>
    <m/>
    <m/>
    <m/>
    <n v="0"/>
    <n v="0"/>
    <n v="0"/>
    <n v="0"/>
    <n v="0"/>
    <n v="0"/>
    <n v="0"/>
    <x v="1"/>
    <x v="0"/>
  </r>
  <r>
    <n v="105"/>
    <s v="ต่างจังหวัด"/>
    <s v="ศรีสะเกษ"/>
    <s v="หักเสาไฟฟ้า"/>
    <s v="UG66/KNG/0046"/>
    <s v="จังหวัดศรีสะเกษ ถนนศรีสะเกษ อุทุมพรพิสัย (2 ฝั่งถนน) (สะทานขาว - โรงพยาบาลศรีสะเกษ)"/>
    <n v="1.6"/>
    <s v="UBN"/>
    <n v="2569"/>
    <m/>
    <s v="รื้อถอน Q2/26"/>
    <s v="Onprocess"/>
    <s v="ลงใต้ดิน+Re-route"/>
    <m/>
    <m/>
    <m/>
    <s v="Request"/>
    <s v="15.114562, 104.320832"/>
    <s v="15.113908, 104.343070"/>
    <s v="24C"/>
    <m/>
    <n v="5.5"/>
    <m/>
    <m/>
    <m/>
    <n v="9"/>
    <n v="0"/>
    <n v="0"/>
    <n v="0"/>
    <n v="0.5"/>
    <n v="5"/>
    <n v="5.5"/>
    <x v="1"/>
    <x v="0"/>
  </r>
  <r>
    <n v="106"/>
    <s v="ต่างจังหวัด"/>
    <s v="นครราชสีมา"/>
    <s v="หักเสาไฟฟ้า"/>
    <s v="UG65/BC1/0003"/>
    <s v="(Lot 6) ถนนจักรี ถนนกำแหงสงคราม ถนนพลแสน ถนนอัษฎาค์ ถนนยมราช ถนนจอมพล ถนนมหาดไทยและถนนสรรพสิทธิ์ (2 ฝั่งถนน)"/>
    <n v="5.26"/>
    <s v="NMA"/>
    <n v="2569"/>
    <m/>
    <s v="รื้อถอน Q2/26"/>
    <s v="Done"/>
    <s v="ลงใต้ดิน+Re-route"/>
    <m/>
    <m/>
    <m/>
    <s v="Approved"/>
    <s v="14.973931196597153, 102.08376767661682"/>
    <s v="14.97308130412379, 102.0978868247932"/>
    <s v="60C"/>
    <m/>
    <m/>
    <n v="1.5"/>
    <m/>
    <m/>
    <n v="0"/>
    <n v="4"/>
    <n v="0"/>
    <n v="0"/>
    <n v="1.5"/>
    <n v="0"/>
    <n v="1.5"/>
    <x v="3"/>
    <x v="2"/>
  </r>
  <r>
    <n v="107"/>
    <s v="ต่างจังหวัด"/>
    <s v="สงขลา"/>
    <s v="หักเสาไฟฟ้า"/>
    <s v="UG65/BC1/0033"/>
    <s v="ถนนราษฎร์ยินดี ช่วง 1 (2 ฝั่งถนน) (ถนนราษฎร์ยินดี/ถนนศรีภูวนาท - ถนนธรรมนูญวิถี)"/>
    <n v="1.6"/>
    <s v="HYI"/>
    <n v="2569"/>
    <m/>
    <s v="รื้อถอน Q2/26"/>
    <s v="Done"/>
    <s v="ลงใต้ดิน+Re-route"/>
    <m/>
    <m/>
    <m/>
    <s v="Approved"/>
    <s v="6.998493127472909, 100.47951131793386"/>
    <s v="7.018394561181121, 100.4825021313393"/>
    <s v="144C"/>
    <m/>
    <m/>
    <m/>
    <n v="1.8"/>
    <m/>
    <n v="0"/>
    <n v="0"/>
    <n v="5"/>
    <n v="0"/>
    <n v="1"/>
    <n v="0.8"/>
    <n v="1.8"/>
    <x v="0"/>
    <x v="2"/>
  </r>
  <r>
    <n v="108"/>
    <s v="ต่างจังหวัด"/>
    <s v="ภูเก็ต"/>
    <s v="ไม่หักเสาไฟฟ้า"/>
    <s v="UG65/LCA/0006"/>
    <s v="ถนนราษฎร์อุทิศ 200 ปี (2 ฝั่งถนน)"/>
    <n v="2.6"/>
    <s v="PKT"/>
    <n v="2569"/>
    <m/>
    <s v="รื้อถอน Q2/26"/>
    <s v="Onprocess"/>
    <s v="ลงใต้ดิน"/>
    <m/>
    <m/>
    <m/>
    <s v="Approved"/>
    <s v="7.905117918374678, 98.30098590363839"/>
    <s v="7.884432612795574, 98.29291155116988"/>
    <s v="216C"/>
    <m/>
    <m/>
    <m/>
    <m/>
    <n v="4"/>
    <n v="0"/>
    <n v="0"/>
    <n v="0"/>
    <n v="7"/>
    <n v="2.2000000000000002"/>
    <n v="1.8"/>
    <n v="4"/>
    <x v="1"/>
    <x v="2"/>
  </r>
  <r>
    <n v="109"/>
    <s v="ต่างจังหวัด"/>
    <s v="สมุทรสาคร"/>
    <s v="หักเสาไฟฟ้า"/>
    <s v="UG66/KNG/0027"/>
    <s v="วิทยาลัยเทคนิคสมุทรสาคร ถึงท่อเรือข้ามฟากมหาชัย - ท่าฉลอม ถนนเศรษฐกิจ 1 (2 ฝั่งถนน)(วิทยาลัยเทคนิคสมุทรสาคร - ท่าเรือข้ามฟากมหาชัย - ท่าฉลอม)"/>
    <n v="1.2"/>
    <s v="RBI"/>
    <n v="2569"/>
    <m/>
    <s v="รื้อถอน Q2/26"/>
    <s v="Onprocess"/>
    <s v="ลงใต้ดิน+Re-route"/>
    <m/>
    <m/>
    <m/>
    <s v="Approved"/>
    <s v="13.54966596873049, 100.27408303561192"/>
    <s v="7.562376888328076, 99.60523322061258"/>
    <s v="144C"/>
    <m/>
    <m/>
    <m/>
    <n v="0.7"/>
    <m/>
    <n v="0"/>
    <n v="0"/>
    <n v="3"/>
    <n v="0"/>
    <n v="0.7"/>
    <n v="0"/>
    <n v="0.7"/>
    <x v="0"/>
    <x v="1"/>
  </r>
  <r>
    <n v="110"/>
    <s v="ต่างจังหวัด"/>
    <s v="แม่ฮ่องสอน"/>
    <s v="หักเสาไฟฟ้า"/>
    <s v="UG66/KNG/0015"/>
    <s v="ถนนขุมลุมประหาส ช่วงสามแยกอนุเสาวรีย์พระยาสิงหนาทราชา ถึงสี่แยกถนนขุนลุมประพาสตัดกับถนนสิงหนาทบำรุง อ.เมือง จ.แม่ฮ่องสอน (2 ฝังถนน) (ช่วงสามแยกอนุเสาวรีย์พระยาสิงหนาทราชา - สี่แยกถนนขุนลุมประหาสตัดกับถนนสิงหนาทบำรุง อ.เมือง จ.แม่ฮ่องสอน)"/>
    <n v="2.2000000000000002"/>
    <s v="CMI"/>
    <n v="2569"/>
    <m/>
    <s v="รื้อถอน Q2/26"/>
    <s v="Done"/>
    <s v="ลงใต้ดิน+Re-route"/>
    <m/>
    <m/>
    <m/>
    <s v="Approved"/>
    <s v="19.296622677749685, 97.9637283744381"/>
    <s v="19.292616810779386, 97.9645569287117"/>
    <s v="24C"/>
    <m/>
    <n v="1.2"/>
    <m/>
    <m/>
    <m/>
    <n v="4"/>
    <n v="0"/>
    <n v="0"/>
    <n v="0"/>
    <n v="0.2"/>
    <n v="1"/>
    <n v="1.2"/>
    <x v="0"/>
    <x v="0"/>
  </r>
  <r>
    <n v="111"/>
    <s v="ต่างจังหวัด"/>
    <s v="ชลบุรี"/>
    <s v="หักเสาไฟฟ้า"/>
    <s v="UG68/LCA/0006"/>
    <s v="บริเวณถนนพระยาสัจจาจากสามแยกโรงเรียนชลราษฎร์อำรุง ถึง สุดเขตเทศบาลเมืองบ้านสวนปากซอยบ้านสวน - พระยาสัจจา 10 จ.ชลบุรี (2 ฝั่งถนน) (ปากซอยบ้านสวน - พระยาสัจจา 10)"/>
    <n v="2.4"/>
    <s v="CBI"/>
    <n v="2569"/>
    <m/>
    <s v="รื้อถอน Q2/26"/>
    <s v="Wait Duct (NT)"/>
    <s v="ลงใต้ดิน"/>
    <m/>
    <m/>
    <m/>
    <s v="Request"/>
    <s v="13.3520124,100.9758000"/>
    <s v="13.3444592,100.9662225"/>
    <s v="60C"/>
    <m/>
    <m/>
    <n v="3.5"/>
    <m/>
    <m/>
    <n v="0"/>
    <n v="7"/>
    <n v="0"/>
    <n v="0"/>
    <n v="1.5"/>
    <n v="2"/>
    <n v="3.5"/>
    <x v="1"/>
    <x v="1"/>
  </r>
  <r>
    <n v="112"/>
    <s v="ต่างจังหวัด"/>
    <s v="นครพนม"/>
    <s v="หักเสาไฟฟ้า"/>
    <s v="UG65/KNG/0011"/>
    <s v="ถนนอภิบาลบัญชา (แยกถนนนิตโย ถึงซอยปิยะมหาราชวิทยาลัย) (2 ฝั่งถนน) (แยกถนนนิตโย - ซอยปิยะมหาราชวิทยาลัย)"/>
    <n v="1.5"/>
    <s v="UDN"/>
    <n v="2569"/>
    <m/>
    <s v="รื้อถอน Q2/26"/>
    <s v="Done"/>
    <s v="ลงใต้ดิน+Re-route"/>
    <m/>
    <m/>
    <m/>
    <s v="Approved"/>
    <s v="17.397873173358434, 104.78531659526675"/>
    <s v="17.40239685998301, 104.78321744495373"/>
    <s v="24C"/>
    <m/>
    <n v="2.4"/>
    <m/>
    <m/>
    <m/>
    <n v="6"/>
    <n v="0"/>
    <n v="0"/>
    <n v="0"/>
    <n v="0.4"/>
    <n v="2"/>
    <n v="2.4"/>
    <x v="0"/>
    <x v="1"/>
  </r>
  <r>
    <n v="113"/>
    <s v="ต่างจังหวัด"/>
    <s v="อุบลราชธานี"/>
    <s v="หักเสาไฟฟ้า"/>
    <s v="UG65/KNG/0031"/>
    <s v="จังหวัดอุบลราชธานี บริเวณถนนชยางกูร (2 ฝั่งถนน)"/>
    <n v="2"/>
    <s v="UBN"/>
    <n v="2569"/>
    <m/>
    <s v="รื้อถอน Q2/26"/>
    <s v="Wait Duct (NT)"/>
    <s v="ลงใต้ดิน+Re-route"/>
    <m/>
    <m/>
    <m/>
    <s v="Request"/>
    <s v="15.237625433545, 104.85382954310555"/>
    <s v="15.235685635545082, 104.85450279601359"/>
    <s v="24C"/>
    <m/>
    <n v="0.3"/>
    <m/>
    <m/>
    <m/>
    <n v="2"/>
    <n v="0"/>
    <n v="0"/>
    <n v="0"/>
    <n v="0.3"/>
    <n v="0"/>
    <n v="0.3"/>
    <x v="1"/>
    <x v="1"/>
  </r>
  <r>
    <n v="114"/>
    <s v="ต่างจังหวัด"/>
    <s v="เชียงใหม่"/>
    <s v="หักเสาไฟฟ้า"/>
    <s v="UG68/BC1/0002"/>
    <s v="Lot 4 ถนนพระปกเกล้า, ถนนเวียงแก้ว, ถนนมูลเมือง, ถนนจาบาน และถนนราชมรรคา (2 ฝั่งถนน)"/>
    <n v="6.9"/>
    <s v="CMI"/>
    <n v="2569"/>
    <m/>
    <s v="รื้อถอน Q2/26"/>
    <s v="Done"/>
    <s v="ลงใต้ดิน+Re-route"/>
    <m/>
    <m/>
    <m/>
    <s v="Request"/>
    <s v="18.78172967991204, 98.98533898317552"/>
    <s v="18.795177734854935, 98.98673373185727"/>
    <s v="เช่า Core NT"/>
    <m/>
    <m/>
    <m/>
    <m/>
    <m/>
    <n v="0"/>
    <n v="0"/>
    <n v="0"/>
    <n v="0"/>
    <n v="0"/>
    <n v="0"/>
    <n v="0"/>
    <x v="1"/>
    <x v="0"/>
  </r>
  <r>
    <n v="115"/>
    <s v="ต่างจังหวัด"/>
    <s v="หนองบัวลำภู"/>
    <s v="หักเสาไฟฟ้า"/>
    <s v="UG66/KNG/0020"/>
    <s v="จุดเริ่มตัดสามแยก ถ.หมายเลข 210 ตัดถนนหมายเลข 228 ถึงจุดสิ้นสุดบริษัท เงินติดล้อ ถ. อนาลโย จ.หนองบัวลำภู (2 ฝั่งถนน) (สามแยก ถ.หมายเลข 210 ตัดถนนหมายเลข 228 - ถ. อนาลโย)"/>
    <n v="2.2000000000000002"/>
    <s v="KKN"/>
    <n v="2569"/>
    <m/>
    <s v="รื้อถอน Q2/26"/>
    <s v="Done"/>
    <s v="ลงใต้ดิน+Re-route"/>
    <m/>
    <m/>
    <m/>
    <s v="Approved"/>
    <s v="17.20770740975192, 102.44563119871563"/>
    <s v="17.20031761257868, 102.44094430043553"/>
    <s v="48C"/>
    <m/>
    <m/>
    <n v="2.5"/>
    <m/>
    <m/>
    <n v="0"/>
    <n v="6"/>
    <n v="0"/>
    <n v="0"/>
    <n v="0.5"/>
    <n v="2"/>
    <n v="2.5"/>
    <x v="0"/>
    <x v="2"/>
  </r>
  <r>
    <n v="116"/>
    <s v="ต่างจังหวัด"/>
    <s v="สุรินทร์"/>
    <s v="หักเสาไฟฟ้า"/>
    <s v="UG66/KNG/0005"/>
    <s v="ถนนกรุงศรีนอก ถนนจิตบำรุง (อนุเสาวรีย์พระยาสุรินทร์ภักดีศรีณรงค์จางวาง ถึง แยกวัดหนองบัว) (2 ฝั่งถนน) (อนุเสาวรีย์พระยาสุรินทร์ภักดีศรีณรงค์จางวาง - แยกวัดหนองบัว"/>
    <n v="2.6"/>
    <s v="NMA"/>
    <n v="2569"/>
    <m/>
    <s v="รื้อถอน Q2/26"/>
    <s v="Done"/>
    <s v="ลงใต้ดิน+Re-route"/>
    <m/>
    <m/>
    <m/>
    <s v="Approved"/>
    <s v="14.878345339925493, 103.48963116345188"/>
    <s v="14.887037853859473, 103.49483995684218"/>
    <s v="24C"/>
    <m/>
    <n v="2"/>
    <m/>
    <m/>
    <m/>
    <n v="5"/>
    <n v="0"/>
    <n v="0"/>
    <n v="0"/>
    <n v="2"/>
    <n v="0"/>
    <n v="2"/>
    <x v="0"/>
    <x v="1"/>
  </r>
  <r>
    <n v="117"/>
    <s v="ต่างจังหวัด"/>
    <s v="นครราชสีมา"/>
    <s v="หักเสาไฟฟ้า"/>
    <s v="UG66/KNG/0006"/>
    <s v="ถนนจอมพล (2 ฝั่งถนน) (ถนนประจักษ์ - ประตูพลล้าน)"/>
    <n v="1.6"/>
    <s v="NMA"/>
    <n v="2569"/>
    <m/>
    <s v="รื้อถอน Q2/26"/>
    <s v="Done"/>
    <s v="ลงใต้ดิน+Re-route"/>
    <m/>
    <m/>
    <m/>
    <s v="Approved"/>
    <s v="14.97471921603506, 102.09851749719145"/>
    <s v="14.97508369171606, 102.11374184021234"/>
    <s v="48C"/>
    <m/>
    <m/>
    <n v="1"/>
    <m/>
    <m/>
    <n v="0"/>
    <n v="3"/>
    <n v="0"/>
    <n v="0"/>
    <n v="3.5"/>
    <n v="0"/>
    <n v="1"/>
    <x v="3"/>
    <x v="2"/>
  </r>
  <r>
    <n v="118"/>
    <s v="ต่างจังหวัด"/>
    <s v="ปัตตานี"/>
    <s v="หักเสาไฟฟ้า"/>
    <s v="UG66/KNG/0041"/>
    <s v="พิพิธ -ยะรัง บริเวณมัสยิดกลาง จ.ปัตตานี ถึง สี่แยก รพ.ปัตตานี /ถนนพิพิธ-ถนนยะรัง (2 ฝั่งถนน) (สี่แยกถนนหนองจิก / รพ.ปัตตานี - สี่แยกถนนอุดมวิถี/ บริเวณมัสยิดกลาง"/>
    <n v="2.8"/>
    <s v="HYI"/>
    <n v="2569"/>
    <m/>
    <s v="รื้อถอน Q2/26"/>
    <s v="Done"/>
    <s v="ลงใต้ดิน"/>
    <m/>
    <m/>
    <m/>
    <s v="Approved"/>
    <s v="6.863827562833702, 101.25670189884161"/>
    <s v="6.871569890970845, 101.24985445541851"/>
    <s v="60C"/>
    <m/>
    <m/>
    <n v="3.3"/>
    <m/>
    <m/>
    <n v="0"/>
    <n v="7"/>
    <n v="0"/>
    <n v="0"/>
    <n v="2.9"/>
    <n v="0.4"/>
    <n v="3.3"/>
    <x v="0"/>
    <x v="3"/>
  </r>
  <r>
    <n v="119"/>
    <s v="ต่างจังหวัด"/>
    <s v="พระนครศรีอยุธยา"/>
    <s v="หักเสาไฟฟ้า"/>
    <s v="UG68/LCA/0013"/>
    <s v="ถนนโรจนะ (2 ฝั่งถนน) (สะพานคลองโพธิ์ - แยกทางรถไฟ)"/>
    <n v="4.8"/>
    <s v="AYA"/>
    <n v="2569"/>
    <m/>
    <s v="รื้อถอน Q2/26"/>
    <s v="Wait Duct (NT)"/>
    <s v="ลงใต้ดิน"/>
    <m/>
    <m/>
    <m/>
    <s v="Request"/>
    <s v="14.3498052,100.6033728"/>
    <s v="14.3526520,100.5834787"/>
    <s v="144C"/>
    <m/>
    <m/>
    <m/>
    <n v="5.8"/>
    <m/>
    <n v="0"/>
    <n v="0"/>
    <n v="8"/>
    <n v="0"/>
    <n v="4.8"/>
    <n v="1"/>
    <n v="5.8"/>
    <x v="1"/>
    <x v="1"/>
  </r>
  <r>
    <n v="120"/>
    <s v="ต่างจังหวัด"/>
    <s v="ภูเก็ต"/>
    <s v="หักเสาไฟฟ้า"/>
    <s v="UG65/LCA/0005"/>
    <s v="ถนนบางลา (2 ฝั่งถนน)"/>
    <n v="1.6"/>
    <s v="PKT"/>
    <n v="2569"/>
    <m/>
    <s v="รื้อถอน Q2/26"/>
    <s v="Onprocess"/>
    <s v="ลงใต้ดิน+Re-route"/>
    <m/>
    <m/>
    <m/>
    <s v="Approved"/>
    <s v="7.893158447196916, 98.29829107146995"/>
    <s v="7.894060652419132, 98.29532175635676"/>
    <s v="60C"/>
    <m/>
    <m/>
    <n v="2"/>
    <m/>
    <m/>
    <n v="0"/>
    <n v="5"/>
    <n v="0"/>
    <n v="0"/>
    <n v="0.8"/>
    <n v="1.2"/>
    <n v="2"/>
    <x v="1"/>
    <x v="2"/>
  </r>
  <r>
    <n v="121"/>
    <s v="ต่างจังหวัด"/>
    <s v="ชลบุรี"/>
    <s v="หักเสาไฟฟ้า"/>
    <s v="UG66/BC1/0001"/>
    <s v="ถนนพัทยาสาย 3 (2 ฝั่งถนน) (ชุมสายในเขตพัทยา - ปริญญา)"/>
    <n v="3.6"/>
    <s v="CBI"/>
    <n v="2569"/>
    <m/>
    <s v="รื้อถอน Q2/26"/>
    <s v="Done"/>
    <s v="ลงใต้ดิน+Re-route"/>
    <m/>
    <m/>
    <m/>
    <s v="Approved"/>
    <s v="12.9349379,100.8920463"/>
    <s v="12.9496161,100.8970225"/>
    <s v="144C"/>
    <m/>
    <m/>
    <m/>
    <n v="3.7"/>
    <m/>
    <n v="0"/>
    <n v="0"/>
    <n v="7"/>
    <n v="0"/>
    <n v="2.2000000000000002"/>
    <n v="1.5"/>
    <n v="3.7"/>
    <x v="1"/>
    <x v="2"/>
  </r>
  <r>
    <n v="122"/>
    <s v="ต่างจังหวัด"/>
    <s v="อำนาจเจริญ"/>
    <s v="หักเสาไฟฟ้า"/>
    <s v="UG66/KNG/0007"/>
    <s v="ถนนสี่แยกมิ่งมงคล ช่วงถนนชยางกูร 212 จากหน้าสำนักงานศูนย์บริการทีโอที ถึง หน้าแขวงการทางหลวงอำนาจเจริญ อ.เมือง จ. อำนาจเจริญ (2 ฝั่งถนน)"/>
    <n v="2"/>
    <s v="UBN"/>
    <n v="2569"/>
    <m/>
    <s v="รื้อถอน Q2/26"/>
    <s v="Onprocess"/>
    <s v="ลงใต้ดิน+Re-route"/>
    <m/>
    <m/>
    <m/>
    <s v="Request"/>
    <s v="15.86573944455716, 104.62744794971319"/>
    <s v="15.8534611,104.6314904"/>
    <s v="60C"/>
    <m/>
    <m/>
    <n v="3.7"/>
    <m/>
    <m/>
    <n v="0"/>
    <n v="7"/>
    <n v="0"/>
    <n v="0"/>
    <n v="0.5"/>
    <n v="3.2"/>
    <n v="3.7"/>
    <x v="1"/>
    <x v="0"/>
  </r>
  <r>
    <n v="123"/>
    <s v="ต่างจังหวัด"/>
    <s v="หนองคาย"/>
    <s v="หักเสาไฟฟ้า"/>
    <s v="UG67/LCA/0006"/>
    <s v="บริเวณถนนมีชัย ช่วงตั้งแต่แยกดอนแดง ถึงแยกตลาดวัดธาตุ จ.หนองคาย (2 ฝั่งถนน) (แยกตอนแดง -ตลาดวัดธาตุ)"/>
    <n v="10"/>
    <s v="UDN"/>
    <n v="2569"/>
    <m/>
    <s v="รื้อถอน Q2/26"/>
    <s v="Done"/>
    <s v="ลงใต้ดิน+Re-route"/>
    <m/>
    <m/>
    <m/>
    <s v="Approved"/>
    <s v="17.882823531101298, 102.74358291010638"/>
    <s v="17.8851089,102.7502951"/>
    <s v="60C"/>
    <m/>
    <m/>
    <n v="2.9"/>
    <m/>
    <m/>
    <n v="0"/>
    <n v="6"/>
    <n v="0"/>
    <n v="0"/>
    <n v="0.9"/>
    <n v="2"/>
    <n v="2.9"/>
    <x v="0"/>
    <x v="0"/>
  </r>
  <r>
    <n v="124"/>
    <s v="ต่างจังหวัด"/>
    <s v="ยโสธร"/>
    <s v="หักเสาไฟฟ้า"/>
    <s v="UG66/KNG/0045"/>
    <s v="ถนนแจ้งสนิทบริเวณหน้าสถานีตำรวจภูธร เมืองยโสธร ถึง สี่แยกไฟแดง หน้าที่ว่าการอำเภอ เมืองยโสธร (2ฝั่งถนน) (บริเวณสี่แยกที่ว่าการอำเภอ - สถานีตำรวจภูธร เมืองยโสธร)"/>
    <n v="2"/>
    <s v="UBN"/>
    <n v="2569"/>
    <m/>
    <s v="รื้อถอน Q2/26"/>
    <s v="Wait Duct (NT)"/>
    <s v="ลงใต้ดิน+Re-route"/>
    <m/>
    <m/>
    <m/>
    <s v="Request"/>
    <s v="15.804817, 104.137315"/>
    <s v="15.795572, 104.141701"/>
    <s v="60C"/>
    <m/>
    <m/>
    <n v="13.5"/>
    <m/>
    <m/>
    <n v="0"/>
    <n v="8"/>
    <n v="0"/>
    <n v="0"/>
    <n v="0.5"/>
    <n v="13"/>
    <n v="13.5"/>
    <x v="1"/>
    <x v="0"/>
  </r>
  <r>
    <n v="125"/>
    <s v="ต่างจังหวัด"/>
    <s v="ชลบุรี"/>
    <s v="หักเสาไฟฟ้า"/>
    <s v="UG66/BC1/0002"/>
    <s v="ถนนพัทยาสาย 2 (2 ฝั่งถนน)"/>
    <n v="3.4"/>
    <s v="CBI"/>
    <n v="2569"/>
    <m/>
    <s v="รื้อถอน Q3/26"/>
    <s v="Wait Duct (NT)"/>
    <s v="เชา core NT"/>
    <m/>
    <m/>
    <m/>
    <s v="Request"/>
    <s v="12.9366143,100.8862925"/>
    <s v="12.9208509,100.8698331"/>
    <s v="60C"/>
    <m/>
    <m/>
    <n v="2.5"/>
    <m/>
    <m/>
    <n v="0"/>
    <n v="6"/>
    <n v="0"/>
    <n v="0"/>
    <n v="0.5"/>
    <n v="2"/>
    <n v="2.5"/>
    <x v="1"/>
    <x v="1"/>
  </r>
  <r>
    <n v="126"/>
    <s v="ต่างจังหวัด"/>
    <s v="สงขลา"/>
    <s v="หักเสาไฟฟ้า"/>
    <s v="UG65/BC1/0035"/>
    <s v="ถนนราษฎร์ยินดี ช่วง 3 (2 ฝั่งถนน) (ถนนศุภสารรังสรรค์ - ถนนเพชรเกษม)"/>
    <n v="2"/>
    <s v="HYI"/>
    <n v="2569"/>
    <m/>
    <s v="รื้อถอน Q3/26"/>
    <s v="Wait Duct (NT)"/>
    <s v="ลงใต้ดิน+Re-route"/>
    <m/>
    <m/>
    <m/>
    <s v="Request"/>
    <s v="7.007506257079446, 100.46914423615328"/>
    <s v="7.009236829177314, 100.48115751904335"/>
    <s v="144C"/>
    <m/>
    <m/>
    <m/>
    <n v="1.9000000000000001"/>
    <m/>
    <n v="0"/>
    <n v="0"/>
    <n v="5"/>
    <n v="0"/>
    <n v="0.8"/>
    <n v="1.1000000000000001"/>
    <n v="1.9000000000000001"/>
    <x v="4"/>
    <x v="2"/>
  </r>
  <r>
    <n v="127"/>
    <s v="ต่างจังหวัด"/>
    <s v="ภูเก็ต"/>
    <s v="หักเสาไฟฟ้า"/>
    <s v="UG68/LCA/0009"/>
    <s v="บริเวณถนนเทพกระษัตรี ถนนดีบุก ถนนภูเก็ต (2 ฝั่งถนน)"/>
    <n v="13.6"/>
    <s v="PKT"/>
    <n v="2569"/>
    <m/>
    <s v="รื้อถอน Q3/26"/>
    <s v="Onprocess"/>
    <s v="ลงใต้ดิน+Re-route"/>
    <m/>
    <m/>
    <m/>
    <s v="Approved"/>
    <s v="7.899611051464421, 98.38892048439538"/>
    <s v="7.884781982599016, 98.39080401076137"/>
    <s v="60C"/>
    <m/>
    <m/>
    <n v="3.3"/>
    <m/>
    <m/>
    <n v="0"/>
    <n v="7"/>
    <n v="0"/>
    <n v="0"/>
    <n v="1.5"/>
    <n v="1.8"/>
    <n v="3.3"/>
    <x v="1"/>
    <x v="2"/>
  </r>
  <r>
    <n v="128"/>
    <s v="ต่างจังหวัด"/>
    <s v="กาญจนบุรี"/>
    <s v="หักเสาไฟฟ้า"/>
    <s v="UG68/LCA/0018"/>
    <s v="ถนนแสงซูโตหน้าสถานีขนส่ง ถนนอู่ทอง (2 ฝั่งถนน)"/>
    <n v="6"/>
    <s v="RBI"/>
    <n v="2569"/>
    <m/>
    <s v="รื้อถอน Q3/26"/>
    <s v="Wait Duct (NT)"/>
    <s v="ลงใต้ดิน+Re-route"/>
    <m/>
    <m/>
    <m/>
    <s v="Request"/>
    <s v="14.011385369242385, 99.53737969158759"/>
    <s v="14.033058617314964, 99.52479854439986"/>
    <s v="60C"/>
    <m/>
    <m/>
    <n v="5"/>
    <m/>
    <m/>
    <n v="0"/>
    <n v="8"/>
    <n v="0"/>
    <n v="0"/>
    <n v="3"/>
    <n v="2"/>
    <n v="5"/>
    <x v="4"/>
    <x v="2"/>
  </r>
  <r>
    <n v="129"/>
    <s v="ต่างจังหวัด"/>
    <s v="อุบลราชธานี"/>
    <s v="หักเสาไฟฟ้า"/>
    <s v="UG65/KNG/0014"/>
    <s v="ถนนแจ้งสนิท เข้าและออก (หน้าศาลากลาง ถึงหน้าศาลปกครอง) (2 ฝั่งถนน)"/>
    <n v="1.6"/>
    <s v="UBN"/>
    <n v="2569"/>
    <m/>
    <s v="รื้อถอน Q3/26"/>
    <s v="Done"/>
    <s v="ลงใต้ดิน+Re-route"/>
    <m/>
    <m/>
    <m/>
    <s v="Approved"/>
    <s v="15.277319847111709, 104.79884699496078"/>
    <s v="15.274111182195199, 104.80677224075812"/>
    <s v="24C"/>
    <m/>
    <n v="1.3"/>
    <m/>
    <m/>
    <m/>
    <n v="4"/>
    <n v="0"/>
    <n v="0"/>
    <n v="0"/>
    <n v="1"/>
    <n v="0.3"/>
    <n v="1.3"/>
    <x v="3"/>
    <x v="1"/>
  </r>
  <r>
    <n v="130"/>
    <s v="ต่างจังหวัด"/>
    <s v="เชียงใหม่"/>
    <s v="หักเสาไฟฟ้า"/>
    <s v="UG68/BC1/0003"/>
    <s v="Lot 5 ถนนราชดำเนินและถนนสามล้าน (2 ฝั่งถนน)"/>
    <n v="5.4"/>
    <s v="CMI"/>
    <n v="2569"/>
    <m/>
    <s v="รื้อถอน Q3/26"/>
    <s v="Done"/>
    <s v="ลงใต้ดิน+Re-route"/>
    <m/>
    <m/>
    <m/>
    <s v="Request"/>
    <s v="18.79531992909168, 98.98173409432738"/>
    <s v="18.781781099692996, 98.98153068652091"/>
    <s v="เช่า Core NT"/>
    <m/>
    <m/>
    <m/>
    <m/>
    <m/>
    <n v="0"/>
    <n v="0"/>
    <n v="0"/>
    <n v="0"/>
    <n v="0"/>
    <n v="0"/>
    <n v="0"/>
    <x v="1"/>
    <x v="0"/>
  </r>
  <r>
    <n v="131"/>
    <s v="ต่างจังหวัด"/>
    <s v="ชลบุรี"/>
    <s v="หักเสาไฟฟ้า"/>
    <s v="UG68/LCA/0020"/>
    <s v="บริเวณแยกวงเวียนหาดบางแสน - โรงแรมเอสทู (ช่วงที่ 3) (2 ฝั่งถนน) (วงเวียนหาดบางแสน - โรงแรมเอสทู (ช่วงที่ 3))"/>
    <n v="4.4000000000000004"/>
    <s v="CBI"/>
    <n v="2569"/>
    <m/>
    <s v="รื้อถอน Q3/26"/>
    <s v="n/a"/>
    <s v="ไม่มีโครงข่าย"/>
    <s v="no"/>
    <n v="0"/>
    <n v="0"/>
    <s v="n/a"/>
    <s v="13.2839883,100.9155507"/>
    <s v="13.2987984,100.9022166"/>
    <s v="n/a"/>
    <m/>
    <m/>
    <m/>
    <m/>
    <m/>
    <n v="0"/>
    <n v="0"/>
    <n v="0"/>
    <n v="0"/>
    <n v="0"/>
    <n v="0"/>
    <n v="0"/>
    <x v="2"/>
    <x v="4"/>
  </r>
  <r>
    <n v="132"/>
    <s v="ต่างจังหวัด"/>
    <s v="ระนอง"/>
    <s v="หักเสาไฟฟ้า"/>
    <s v="UG68/LCA/0008"/>
    <s v="บริเวณถนนเรืองราษฎร์ (แยกตลาดเก่า - ตลาดพม่า) จ.ระนอง (2 ฝั่งถนน) (แยกตลาดเก่า - ตลาดพม่า)"/>
    <n v="2.6"/>
    <s v="SNI"/>
    <n v="2569"/>
    <m/>
    <s v="รื้อถอน Q3/26"/>
    <s v="Onprocess"/>
    <s v="ลงใต้ดิน+Re-route"/>
    <m/>
    <m/>
    <m/>
    <s v="Approved"/>
    <s v="9.970274330707618, 98.63377192790058"/>
    <s v="9.957007981862459, 98.63330946841668"/>
    <s v="144C"/>
    <m/>
    <m/>
    <m/>
    <n v="2.9000000000000004"/>
    <m/>
    <n v="0"/>
    <n v="0"/>
    <n v="6"/>
    <n v="0"/>
    <n v="0.8"/>
    <n v="2.1"/>
    <n v="2.9000000000000004"/>
    <x v="1"/>
    <x v="2"/>
  </r>
  <r>
    <n v="133"/>
    <s v="ต่างจังหวัด"/>
    <s v="ตาก"/>
    <s v="หักเสาไฟฟ้า"/>
    <s v="UG68/LCA/0012"/>
    <s v="ถนนประสาทวิถี (2 ฝั่งถนน)"/>
    <n v="3.4"/>
    <s v="PLK"/>
    <n v="2569"/>
    <m/>
    <s v="รื้อถอน Q3/26"/>
    <s v="Done/Remain Phase II"/>
    <s v="ลงใต้ดิน+Re-route"/>
    <m/>
    <m/>
    <m/>
    <s v="Request"/>
    <s v="16.71424120970143, 98.56247556587337"/>
    <s v="16.71484482691017, 98.58016737571064"/>
    <s v="12C"/>
    <n v="1"/>
    <m/>
    <m/>
    <m/>
    <m/>
    <n v="3"/>
    <n v="0"/>
    <n v="0"/>
    <n v="0"/>
    <n v="0.3"/>
    <n v="0.7"/>
    <n v="1"/>
    <x v="4"/>
    <x v="0"/>
  </r>
  <r>
    <n v="134"/>
    <s v="ต่างจังหวัด"/>
    <s v="ปทุมธานี"/>
    <s v="หักเสาไฟฟ้า"/>
    <s v="UG69/LCA/0005"/>
    <s v="บริเวณถนนเลียบคลองสาม ช่วงที่ 1 จังหวัดปทุมธานี (2 ฝั่งถนน)"/>
    <n v="4.04"/>
    <s v="BKK2"/>
    <n v="2569"/>
    <m/>
    <s v="รื้อถอน Q3/26"/>
    <s v="Done"/>
    <s v="ลงใต้ดิน+Re-route"/>
    <m/>
    <m/>
    <m/>
    <s v="Approved"/>
    <s v=" 14.047612,100.663507"/>
    <s v=" 14.065783,100.663362"/>
    <s v="12C"/>
    <n v="1.2"/>
    <m/>
    <m/>
    <m/>
    <m/>
    <n v="4"/>
    <n v="0"/>
    <n v="0"/>
    <n v="0"/>
    <n v="0"/>
    <n v="1.2"/>
    <n v="1.2"/>
    <x v="0"/>
    <x v="0"/>
  </r>
  <r>
    <n v="135"/>
    <s v="ต่างจังหวัด"/>
    <s v="สงขลา"/>
    <s v="หักเสาไฟฟ้า"/>
    <s v="UG66/KNG/0050"/>
    <s v="จังหวัดสงขลา ถนนรามวิถี (2 ฝั่งถนน) (ถนนปละท่า - วิทยาลัยพยาบาล)"/>
    <n v="1.7"/>
    <s v="HYI"/>
    <n v="2569"/>
    <m/>
    <s v="รื้อถอน Q3/26"/>
    <s v="Done"/>
    <s v="ลงใต้ดิน+Re-route"/>
    <m/>
    <m/>
    <m/>
    <s v="Approved"/>
    <s v="7.202219112338126, 100.59184529938743"/>
    <s v="7.196108299450994, 100.59354749748819"/>
    <s v="144C"/>
    <m/>
    <m/>
    <m/>
    <n v="2.2999999999999998"/>
    <m/>
    <n v="0"/>
    <n v="0"/>
    <n v="6"/>
    <n v="0"/>
    <n v="1.5"/>
    <n v="0.8"/>
    <n v="2.2999999999999998"/>
    <x v="0"/>
    <x v="1"/>
  </r>
  <r>
    <n v="136"/>
    <s v="ต่างจังหวัด"/>
    <s v="เชียงใหม่"/>
    <s v="หักเสาไฟฟ้า"/>
    <s v="UG68/BC1/0004"/>
    <s v="Lot 8 ถนนทิพย์เนตร (2 ฝั่งถนน)"/>
    <n v="0.8"/>
    <s v="CMI"/>
    <n v="2569"/>
    <m/>
    <s v="รื้อถอน Q3/26"/>
    <s v="Done"/>
    <s v="ลงใต้ดิน+Re-route"/>
    <m/>
    <m/>
    <m/>
    <s v="Request"/>
    <s v="18.774821128945103, 98.98077192992662"/>
    <s v="18.781176104485553, 98.98152976447875"/>
    <s v="60C"/>
    <m/>
    <m/>
    <n v="1.5"/>
    <m/>
    <m/>
    <n v="0"/>
    <n v="4"/>
    <n v="0"/>
    <n v="0"/>
    <n v="1"/>
    <n v="0.5"/>
    <n v="1.5"/>
    <x v="1"/>
    <x v="0"/>
  </r>
  <r>
    <n v="137"/>
    <s v="ต่างจังหวัด"/>
    <s v="สุโขทัย"/>
    <s v="หักเสาไฟฟ้า"/>
    <s v="UG68/LCA/0004"/>
    <s v="ถนนจรดวิถีถ่อง ในพื้นที่เทศบาลเมืองสุโขทัย (2 ฝั่งถนน) (โรงเรียนวัดไทยชุมพล - สหกรณ์ออมทรัพย์ครูสุโขทัย)"/>
    <n v="2"/>
    <s v="PLK"/>
    <n v="2569"/>
    <m/>
    <s v="รื้อถอน Q4/26"/>
    <s v="Done"/>
    <s v="ลงใต้ดิน+Re-route"/>
    <m/>
    <m/>
    <m/>
    <s v="Approved"/>
    <s v="17.015568653725552, 99.82090688156937"/>
    <s v="17.019521684082314, 99.82140036481218"/>
    <s v="12C"/>
    <n v="2"/>
    <m/>
    <m/>
    <m/>
    <m/>
    <n v="5"/>
    <n v="0"/>
    <n v="0"/>
    <n v="0"/>
    <n v="0"/>
    <n v="2"/>
    <n v="2"/>
    <x v="0"/>
    <x v="0"/>
  </r>
  <r>
    <n v="138"/>
    <s v="ต่างจังหวัด"/>
    <s v="นครสวรรค์"/>
    <s v="ไม่หักเสาไฟฟ้า"/>
    <s v="UG68/LCA/0008"/>
    <s v="ถนนพหลโยธิน (2 ฝั่ง ถนน) (2 ฝั่งถนน) (สะพานเดชาติวงศ์ - สถานีไฟฟ้าแรงสูงจังหวัดนครสวรรค์)"/>
    <n v="14"/>
    <s v="PLK"/>
    <n v="2569"/>
    <m/>
    <s v="รื้อถอน Q4/26"/>
    <s v="Wait Duct (NT)"/>
    <s v="ลงใต้ดิน+Re-route"/>
    <m/>
    <m/>
    <m/>
    <s v="Request"/>
    <s v="15.70711345341102, 100.10214941451954"/>
    <s v="15.689506415511515, 100.12340272580727"/>
    <s v="24C"/>
    <m/>
    <n v="3"/>
    <m/>
    <m/>
    <m/>
    <n v="6"/>
    <n v="0"/>
    <n v="0"/>
    <n v="0"/>
    <n v="2"/>
    <n v="1"/>
    <n v="3"/>
    <x v="1"/>
    <x v="1"/>
  </r>
  <r>
    <n v="139"/>
    <s v="ต่างจังหวัด"/>
    <s v="ปทุมธานี"/>
    <s v="หักเสาไฟฟ้า"/>
    <s v="UG68/LCA/0020"/>
    <s v="บริเวณเลียบคลองสาม ระยะที่ 2 (1 ฝั่งถนน ฝั่งตรงข้ามคลอง) (คลองสาม 5/1 - ซอยหมู่บ้านภัสสร 1)"/>
    <n v="2"/>
    <s v="BKK2"/>
    <n v="2569"/>
    <m/>
    <s v="รื้อถอน Q4/26"/>
    <s v="Wait Duct (NT)"/>
    <s v="ลงใต้ดิน+Re-route"/>
    <m/>
    <m/>
    <m/>
    <s v="Request"/>
    <s v="14.04762376273268, 100.66350388256419"/>
    <s v="14.029830120787144, 100.66352589562734"/>
    <s v="24C"/>
    <m/>
    <n v="1.7"/>
    <m/>
    <m/>
    <m/>
    <n v="5"/>
    <n v="0"/>
    <n v="0"/>
    <n v="0"/>
    <n v="0.5"/>
    <n v="1.2"/>
    <n v="1.7"/>
    <x v="1"/>
    <x v="1"/>
  </r>
  <r>
    <n v="140"/>
    <s v="ต่างจังหวัด"/>
    <s v="ศรีสะเกษ"/>
    <s v="หักเสาไฟฟ้า"/>
    <s v="UG68/LCA/0014"/>
    <s v="ถนนอุบล (2 ฝั่งถนน) (รพ.ศรีสะเกษ - ห้วยน้ำคำ/ถนนขุขันธ์)"/>
    <n v="2.2000000000000002"/>
    <s v="UBN"/>
    <n v="2569"/>
    <m/>
    <s v="รื้อถอน Q4/26"/>
    <s v="Onprocess"/>
    <s v="ลงใต้ดิน+Re-route"/>
    <m/>
    <m/>
    <m/>
    <s v="Request"/>
    <s v="15.114562, 104.320832"/>
    <s v="15.113908, 104.343070"/>
    <s v="24C"/>
    <m/>
    <n v="5.5"/>
    <m/>
    <m/>
    <m/>
    <n v="9"/>
    <n v="0"/>
    <n v="0"/>
    <n v="0"/>
    <n v="0.5"/>
    <n v="5"/>
    <n v="5.5"/>
    <x v="1"/>
    <x v="1"/>
  </r>
  <r>
    <n v="141"/>
    <s v="ต่างจังหวัด"/>
    <s v="ศรีสะเกษ"/>
    <s v="หักเสาไฟฟ้า"/>
    <s v="UG68/LCA/0015"/>
    <s v="ถนนขุขันธ์ (2 ฝั่งถนน) (ตัดถนนเทพา - หน้าสยามนิสสัน)"/>
    <n v="4.5999999999999996"/>
    <s v="UBN"/>
    <n v="2569"/>
    <m/>
    <s v="รื้อถอน Q4/26"/>
    <s v="Onprocess"/>
    <s v="ลงใต้ดิน+Re-route"/>
    <m/>
    <m/>
    <m/>
    <s v="Request"/>
    <s v="15.10423793580828, 104.32965347781004"/>
    <s v="15.100913987333088, 104.33231861329817"/>
    <s v="24C"/>
    <m/>
    <n v="5.5"/>
    <m/>
    <m/>
    <m/>
    <n v="9"/>
    <n v="0"/>
    <n v="0"/>
    <n v="0"/>
    <n v="0.5"/>
    <n v="5"/>
    <n v="5.5"/>
    <x v="1"/>
    <x v="1"/>
  </r>
  <r>
    <n v="142"/>
    <s v="ต่างจังหวัด"/>
    <s v="ตรัง"/>
    <s v="หักเสาไฟฟ้า"/>
    <s v="UG68/LCA/0017"/>
    <s v="ถนนห้วยยอด (2 ฝั่งถนน)"/>
    <n v="2.8"/>
    <s v="HYI"/>
    <n v="2569"/>
    <m/>
    <s v="รื้อถอน Q4/26"/>
    <s v="Wait Duct (NT)"/>
    <s v="ลงใต้ดิน+Re-route"/>
    <m/>
    <m/>
    <m/>
    <s v="Request"/>
    <s v="7.557995465149645, 99.60445182844136"/>
    <s v="7.562356620934008, 99.60525196220617"/>
    <s v="60C"/>
    <m/>
    <m/>
    <n v="2.5999999999999996"/>
    <m/>
    <m/>
    <n v="0"/>
    <n v="6"/>
    <n v="0"/>
    <n v="0"/>
    <n v="1.2"/>
    <n v="1.4"/>
    <n v="2.5999999999999996"/>
    <x v="4"/>
    <x v="0"/>
  </r>
  <r>
    <n v="143"/>
    <s v="ต่างจังหวัด"/>
    <s v="พิษณุโลก"/>
    <s v="หักเสาไฟฟ้า"/>
    <s v="UG68/LCA/0016"/>
    <s v="ถนนพุทธบูชา ถนนพญาลีไท ถนนเอกาทศรถ ถนนมหาธรรมราชา ถนนบรมไตรโลกนาศ (2 ฝั่งถนน)"/>
    <n v="5.4"/>
    <s v="PLK"/>
    <n v="2569"/>
    <m/>
    <s v="รื้อถอน Q4/26"/>
    <s v="Done"/>
    <s v="ลงใต้ดิน"/>
    <m/>
    <m/>
    <m/>
    <s v="Approved"/>
    <s v="16.805097398348558, 100.24548701400074"/>
    <s v="16.813560413796107, 100.26276999391412"/>
    <s v="24C"/>
    <m/>
    <n v="1.2"/>
    <m/>
    <m/>
    <m/>
    <n v="4"/>
    <n v="0"/>
    <n v="0"/>
    <n v="0"/>
    <n v="0.2"/>
    <n v="1"/>
    <n v="1.2"/>
    <x v="0"/>
    <x v="0"/>
  </r>
  <r>
    <n v="144"/>
    <s v="ต่างจังหวัด"/>
    <s v="เชียงราย"/>
    <s v="หักเสาไฟฟ้า"/>
    <s v="UG68/LCA/0006"/>
    <s v="บริเวณถนนไตรรัตน์ ถนนสนามบิน ถนนบรรพปราการ และถนนอุตรกิจ อ.เมืองเชียงราย (2 ฝั่งถนน)(โรงพยาบาลเชียงรายประชานุเคราะห์ - โรงพยาบาลโอเวอร์บุค)"/>
    <n v="7.6"/>
    <s v="CMI"/>
    <n v="2569"/>
    <m/>
    <s v="รื้อถอน Q4/26"/>
    <s v="Done"/>
    <s v="ลงใต้ดิน+Re-route"/>
    <m/>
    <m/>
    <m/>
    <s v="Request"/>
    <s v="19.90198856005939, 99.82817546560489"/>
    <s v="19.911151157998003, 99.8280398429926"/>
    <s v="24C"/>
    <m/>
    <n v="0.89999999999999991"/>
    <m/>
    <m/>
    <m/>
    <n v="3"/>
    <n v="0"/>
    <n v="0"/>
    <n v="0"/>
    <n v="0.7"/>
    <n v="0.2"/>
    <n v="0.89999999999999991"/>
    <x v="1"/>
    <x v="1"/>
  </r>
  <r>
    <n v="145"/>
    <s v="ต่างจังหวัด"/>
    <s v="พิจิตร"/>
    <s v="หักเสาไฟฟ้า"/>
    <s v="UG68/LCA/0019"/>
    <s v="บริเวณในเขตพื้นที่เทศบาลเมืองตะพานหิน (2 ฝั่งถนน)"/>
    <n v="11.36"/>
    <s v="PLK"/>
    <n v="2569"/>
    <m/>
    <s v="รื้อถอน Q4/26"/>
    <s v="n/a"/>
    <s v="ไม่มีโครงข่าย"/>
    <s v="no"/>
    <n v="0"/>
    <n v="0"/>
    <s v="n/a"/>
    <s v="16.212725981956204, 100.42003726573984"/>
    <s v="16.21029164803761, 100.4193967151068"/>
    <s v="n/a"/>
    <m/>
    <m/>
    <m/>
    <m/>
    <m/>
    <n v="0"/>
    <n v="0"/>
    <n v="0"/>
    <n v="0"/>
    <n v="0"/>
    <n v="0"/>
    <n v="0"/>
    <x v="2"/>
    <x v="4"/>
  </r>
  <r>
    <n v="146"/>
    <s v="ต่างจังหวัด"/>
    <s v="สุโขทัย"/>
    <s v="หักเสาไฟฟ้า"/>
    <s v="UG68/LCA/0003"/>
    <s v="ถนนสิงหวัฒน์ ในพื้นที่เทศบาลเมืองสุโขทัย (2 ฝั่งถนน) (สะพานพระร่วง - สามแยกอินทรีย์)"/>
    <n v="2"/>
    <s v="PLK"/>
    <n v="2569"/>
    <m/>
    <s v="รื้อถอน Q4/26"/>
    <s v="Wait Duct (NT)"/>
    <s v="ลงใต้ดิน+Re-route"/>
    <m/>
    <m/>
    <m/>
    <s v="Request"/>
    <s v="17.008989269403955, 99.81777709229391"/>
    <s v="17.011413500932896, 99.82067310285551"/>
    <s v="24C"/>
    <m/>
    <n v="1.2"/>
    <m/>
    <m/>
    <m/>
    <n v="4"/>
    <n v="0"/>
    <n v="0"/>
    <n v="0"/>
    <n v="0.2"/>
    <n v="1"/>
    <n v="1.2"/>
    <x v="1"/>
    <x v="0"/>
  </r>
  <r>
    <n v="147"/>
    <s v="ต่างจังหวัด"/>
    <s v="ตรัง"/>
    <s v="หักเสาไฟฟ้า"/>
    <s v="UG68/LCA/0001"/>
    <s v="บริเวณถนนเจิมปัญญา, รื่นรมย์, พัทลุง และรัษฎา ในพื้นที่เทศบาลเมืองตรัง อ.เมืองตรัง (2 ฝั่งถนน)(จุดตัดถนนรัษฎา - อนุสาวรีย์พระยารัษฎานุประดิษฐ์ฯ)"/>
    <n v="3"/>
    <s v="HYI"/>
    <n v="2569"/>
    <m/>
    <s v="รื้อถอน Q4/26"/>
    <s v="Done"/>
    <s v="ลงใต้ดิน+Re-route"/>
    <m/>
    <m/>
    <m/>
    <s v="Approved"/>
    <s v="7.556904818156101, 99.61006245781043"/>
    <s v="7.558642043748402, 99.61597932564501"/>
    <s v="60C"/>
    <m/>
    <m/>
    <n v="3.4"/>
    <m/>
    <m/>
    <n v="0"/>
    <n v="7"/>
    <n v="0"/>
    <n v="0"/>
    <n v="2.5"/>
    <n v="0.9"/>
    <n v="3.4"/>
    <x v="0"/>
    <x v="0"/>
  </r>
  <r>
    <n v="148"/>
    <s v="ต่างจังหวัด"/>
    <s v="ปทุมธานี"/>
    <s v="หักเสาไฟฟ้า"/>
    <s v="UG68/LCA/0002"/>
    <s v="บริเวณถนนรังสิต - ปทุมธานี ตั้งแต่บริเวณรางรถไฟ ถึง ทำรถต่างจังหวัด จ.ปทุมธานี (2 ฝั่งถนน) (บริเวณรางรถไฟ - ท่ารถต่างจังหวัด)"/>
    <n v="3"/>
    <s v="BKK2"/>
    <n v="2569"/>
    <m/>
    <s v="รื้อถอน Q4/26"/>
    <s v="Wait Duct (NT)"/>
    <s v="ลงใต้ดิน+Re-route"/>
    <m/>
    <m/>
    <m/>
    <s v="Request"/>
    <s v="13.988481986036142, 100.61523878243305"/>
    <s v="13.986233079629509, 100.60267530840942"/>
    <s v="144C"/>
    <m/>
    <m/>
    <m/>
    <n v="3.7"/>
    <m/>
    <n v="0"/>
    <n v="0"/>
    <n v="7"/>
    <n v="0"/>
    <n v="3.2"/>
    <n v="0.5"/>
    <n v="3.7"/>
    <x v="4"/>
    <x v="2"/>
  </r>
  <r>
    <n v="149"/>
    <s v="ต่างจังหวัด"/>
    <s v="เชียงราย"/>
    <s v="หักเสาไฟฟ้า"/>
    <s v="UG68/LCA/0005"/>
    <s v="บริเวณถนนเหมืองแดง และป่ายาง ในพื้นที่เทศบาลตำบลแม่สาย (2 ฝั่งถนน) (จุตตัตถนนพหลโยธิน -คลองขลประธาน)"/>
    <n v="4"/>
    <s v="CMI"/>
    <n v="2569"/>
    <m/>
    <s v="รื้อถอน Q4/26"/>
    <s v="Done"/>
    <s v="ลงใต้ดิน+Re-route"/>
    <m/>
    <m/>
    <m/>
    <s v="Request"/>
    <s v="20.43887353757458, 99.88301910978014"/>
    <s v="20.439028039961926, 99.89357075905973"/>
    <s v="24C"/>
    <m/>
    <n v="0.7"/>
    <m/>
    <m/>
    <m/>
    <n v="3"/>
    <n v="0"/>
    <n v="0"/>
    <n v="0"/>
    <n v="0.5"/>
    <n v="0.2"/>
    <n v="0.7"/>
    <x v="1"/>
    <x v="1"/>
  </r>
  <r>
    <n v="150"/>
    <s v="ต่างจังหวัด"/>
    <s v="ชลบุรี"/>
    <s v="หักเสาไฟฟ้า"/>
    <s v="UG68/LCA/0007"/>
    <s v="บริเวณถนนจอมเทียนสาย 2 เมืองพัทยา (2 ฝั่งถนน) (สวนสาธารณะหนองตะแบก - จุดตัดถนนสุขุมวิทย์)"/>
    <n v="10"/>
    <s v="CBI"/>
    <n v="2569"/>
    <m/>
    <s v="รื้อถอน Q4/26"/>
    <s v="Wait Duct (NT)"/>
    <s v="ลงใต้ดิน"/>
    <m/>
    <m/>
    <m/>
    <s v="Request"/>
    <s v="12.8838029,100.8854915"/>
    <s v="12.8719797,100.9022803"/>
    <s v="60C"/>
    <m/>
    <m/>
    <n v="1.2"/>
    <m/>
    <m/>
    <n v="0"/>
    <n v="4"/>
    <n v="0"/>
    <n v="0"/>
    <n v="1.2"/>
    <n v="0"/>
    <n v="1.2"/>
    <x v="1"/>
    <x v="1"/>
  </r>
  <r>
    <n v="151"/>
    <s v="ต่างจังหวัด"/>
    <s v="ภูเก็ต"/>
    <s v="หักเสาไฟฟ้า"/>
    <s v="UG69/LCA/0015"/>
    <s v="บริเวณหาดป่าตอง,สวัสดิรักษ์,บางลา,ร่วมใจ และประชานุเคราะห์ (2 ฝั่งถนน)"/>
    <n v="8.4"/>
    <s v="PKT"/>
    <n v="2570"/>
    <m/>
    <m/>
    <s v="Wait Duct (NT)"/>
    <s v="ลงใต้ดิน+Re-route"/>
    <m/>
    <m/>
    <m/>
    <s v="Approved"/>
    <s v="7.882211820587886, 98.29368265878584"/>
    <s v="7.887290591153149, 98.29123527718517"/>
    <s v="216C"/>
    <m/>
    <m/>
    <m/>
    <m/>
    <n v="2.5"/>
    <n v="0"/>
    <n v="0"/>
    <n v="0"/>
    <n v="6"/>
    <n v="2.5"/>
    <n v="0"/>
    <n v="2.5"/>
    <x v="4"/>
    <x v="0"/>
  </r>
  <r>
    <n v="152"/>
    <s v="ต่างจังหวัด"/>
    <s v="ชลบุรี"/>
    <s v="หักเสาไฟฟ้า"/>
    <s v="UG69/LCA/0010"/>
    <s v="ถนนตอนหัวฬ่อ (2 ฝั่งถนน) (ร้านฟริ้นสโตน - โกดังดับเบิลยูเอชเอ)"/>
    <n v="5.2"/>
    <s v="CBI"/>
    <n v="2570"/>
    <m/>
    <m/>
    <s v="Wait Duct (NT)"/>
    <s v="ลงใต้ดิน"/>
    <m/>
    <m/>
    <m/>
    <s v="Request"/>
    <s v="13.4120526,101.0440291"/>
    <s v="13.4240506,101.0404817"/>
    <s v="60C"/>
    <m/>
    <m/>
    <n v="2.8"/>
    <m/>
    <m/>
    <n v="0"/>
    <n v="6"/>
    <n v="0"/>
    <n v="0"/>
    <n v="1.8"/>
    <n v="1"/>
    <n v="2.8"/>
    <x v="4"/>
    <x v="2"/>
  </r>
  <r>
    <n v="153"/>
    <s v="ต่างจังหวัด"/>
    <s v="ชลบุรี"/>
    <s v="หักเสาไฟฟ้า"/>
    <s v="UG69/LCA/0019"/>
    <s v="ถนนสุรศักดิ์ 2 (2 ฝั่งถนน)"/>
    <n v="2.4"/>
    <s v="CBI"/>
    <n v="2570"/>
    <m/>
    <m/>
    <s v="Wait Duct (NT)"/>
    <s v="ลงใต้ดิน"/>
    <m/>
    <m/>
    <m/>
    <s v="Request"/>
    <s v="13.1727996,100.9314502"/>
    <s v="13.1734952,100.9264708"/>
    <s v="12C"/>
    <n v="3.3"/>
    <m/>
    <m/>
    <m/>
    <m/>
    <n v="7"/>
    <n v="0"/>
    <n v="0"/>
    <n v="0"/>
    <n v="0.3"/>
    <n v="3"/>
    <n v="3.3"/>
    <x v="4"/>
    <x v="2"/>
  </r>
  <r>
    <n v="154"/>
    <s v="ต่างจังหวัด"/>
    <s v="น่าน"/>
    <s v="หักเสาไฟฟ้า"/>
    <s v="UG69/LCA/0022"/>
    <s v="ถนนมหายศ (2 ฝั่งถนน) (สามแยกศาล - สี่แยกสายสวรรค์)"/>
    <n v="1.04"/>
    <s v="CMI"/>
    <n v="2570"/>
    <m/>
    <m/>
    <s v="Done"/>
    <s v="ลงใต้ดิน+Re-route"/>
    <m/>
    <m/>
    <m/>
    <s v="Approved"/>
    <s v="18.791765494558653, 100.77995905481717"/>
    <s v="18.775681729186918, 100.77289106641778"/>
    <s v="24C"/>
    <m/>
    <n v="3.2"/>
    <m/>
    <m/>
    <m/>
    <n v="7"/>
    <n v="0"/>
    <n v="0"/>
    <n v="0"/>
    <n v="0.2"/>
    <n v="3"/>
    <n v="3.2"/>
    <x v="0"/>
    <x v="0"/>
  </r>
  <r>
    <n v="155"/>
    <s v="ต่างจังหวัด"/>
    <s v="ราชบุรี"/>
    <s v="หักเสาไฟฟ้า"/>
    <s v="UG69/LCA/0031"/>
    <s v="ถนนไกรเพชร (2 ฝั่งถนน) (ถนนรถไฟ - บริเวณห้าแยกสะพานแดง)"/>
    <n v="2"/>
    <s v="RBI"/>
    <n v="2570"/>
    <m/>
    <m/>
    <s v="Wait Duct (NT)"/>
    <s v="ลงใต้ดิน+Re-route"/>
    <m/>
    <m/>
    <m/>
    <s v="Request"/>
    <s v="13.537106588893622, 99.81441400248092"/>
    <s v="13.537841175961946, 99.82337670841281"/>
    <s v="144C"/>
    <m/>
    <m/>
    <m/>
    <n v="2.5"/>
    <m/>
    <n v="0"/>
    <n v="0"/>
    <n v="6"/>
    <n v="0"/>
    <n v="2.5"/>
    <n v="0"/>
    <n v="2.5"/>
    <x v="4"/>
    <x v="1"/>
  </r>
  <r>
    <n v="156"/>
    <s v="ต่างจังหวัด"/>
    <s v="ชลบุรี"/>
    <s v="หักเสาไฟฟ้า"/>
    <s v="UG69/LCA/0018"/>
    <s v="บริเวณถนนพระยาสัจจา จากคลองโปษยานนท์ ถึง สามแยกโรงเรียนชลราษฎร์อำรุง และถนนบ้านสวน - สุขุมวิท 13 จาก สามแยกโรงเรียนชลราษฎร์อำรุง ถึงถนนสุขุมวิท หมู่ที่ 2,3,4 ตำบลบ้านสวน (2 ฝั่งถนน)"/>
    <n v="4.8"/>
    <s v="CBI"/>
    <n v="2570"/>
    <m/>
    <m/>
    <s v="Wait Duct (NT)"/>
    <s v="ลงใต้ดิน"/>
    <m/>
    <m/>
    <m/>
    <s v="Request"/>
    <s v="13.3594891,100.9796074"/>
    <s v="13.3594850,100.9795980"/>
    <s v="144C"/>
    <m/>
    <m/>
    <m/>
    <n v="2.6"/>
    <m/>
    <n v="0"/>
    <n v="0"/>
    <n v="6"/>
    <n v="0"/>
    <n v="1.6"/>
    <n v="1"/>
    <n v="2.6"/>
    <x v="4"/>
    <x v="0"/>
  </r>
  <r>
    <n v="157"/>
    <s v="ต่างจังหวัด"/>
    <s v="ภูเก็ต"/>
    <s v="หักเสาไฟฟ้า"/>
    <s v="UG69/LCA/0009"/>
    <s v="บริเวณหาตราไวย์ (2 ฝั่งถนน) (จุดตัดถนนวิเศษ - เทศบาลตำบลราไวย์)"/>
    <n v="5.2"/>
    <s v="PKT"/>
    <n v="2570"/>
    <m/>
    <m/>
    <s v="Wait Duct (NT)"/>
    <s v="Re-route"/>
    <m/>
    <m/>
    <m/>
    <s v="Approved"/>
    <s v="7.77109857071226, 98.31851253610328"/>
    <s v="7.7757587328022355, 98.32762328424064"/>
    <s v="12C"/>
    <n v="3"/>
    <m/>
    <m/>
    <m/>
    <m/>
    <n v="6"/>
    <n v="0"/>
    <n v="0"/>
    <n v="0"/>
    <n v="0"/>
    <n v="3"/>
    <n v="3"/>
    <x v="4"/>
    <x v="2"/>
  </r>
  <r>
    <n v="158"/>
    <s v="ต่างจังหวัด"/>
    <s v="สุรินทร์"/>
    <s v="หักเสาไฟฟ้า"/>
    <s v="UG69/LCA/0012"/>
    <s v="ถนนจิตรบำรุง ถนนธนสาร ถนนเทศบาล 3 (2 ฝั่งถนน)"/>
    <n v="12"/>
    <s v="NMA"/>
    <n v="2570"/>
    <m/>
    <m/>
    <s v="Wait Duct (NT)"/>
    <s v="ลงใต้ดิน+Re-route"/>
    <m/>
    <m/>
    <m/>
    <s v="Request"/>
    <s v="14.887283944121917, 103.49501088648123"/>
    <s v="14.888530744800635, 103.49238971187779"/>
    <s v="24C"/>
    <m/>
    <n v="0.8"/>
    <m/>
    <m/>
    <m/>
    <n v="3"/>
    <n v="0"/>
    <n v="0"/>
    <n v="0"/>
    <n v="0.6"/>
    <n v="0.2"/>
    <n v="0.8"/>
    <x v="4"/>
    <x v="2"/>
  </r>
  <r>
    <n v="159"/>
    <s v="ต่างจังหวัด"/>
    <s v="ชุมพร"/>
    <s v="หักเสาไฟฟ้า"/>
    <s v="UG69/LCA/0021"/>
    <s v="บริเวณกรมหลวงชุมพร (2 ฝั่งถนน)"/>
    <n v="5.6"/>
    <s v="SNI"/>
    <n v="2570"/>
    <m/>
    <m/>
    <s v="Wait Duct (NT)"/>
    <s v="ลงใต้ดิน+Re-route"/>
    <m/>
    <m/>
    <m/>
    <s v="Request"/>
    <s v="10.501454996992223, 99.1775245622891"/>
    <s v="10.498957957941144, 99.18956253050567"/>
    <s v="24C"/>
    <m/>
    <n v="0.5"/>
    <m/>
    <m/>
    <m/>
    <n v="2"/>
    <n v="0"/>
    <n v="0"/>
    <n v="0"/>
    <n v="0.5"/>
    <n v="0"/>
    <n v="0.5"/>
    <x v="4"/>
    <x v="0"/>
  </r>
  <r>
    <n v="160"/>
    <s v="ต่างจังหวัด"/>
    <s v="ปทุมธานี"/>
    <s v="หักเสาไฟฟ้า"/>
    <s v="UG69/LCA/0027"/>
    <s v="ถนนชลมาร์คพิจารณ์ และถนนโชติเวช (2 ฝั่งถนน)"/>
    <n v="9.1999999999999993"/>
    <s v="BKK2"/>
    <n v="2570"/>
    <m/>
    <m/>
    <s v="n/a"/>
    <s v="ลงใต้ดิน+Re-route"/>
    <m/>
    <m/>
    <m/>
    <s v="n/a"/>
    <s v="13.946917115910553, 100.6629478614235"/>
    <s v="13.960787627367699, 100.68496220987898"/>
    <s v="n/a"/>
    <m/>
    <m/>
    <m/>
    <m/>
    <m/>
    <n v="0"/>
    <n v="0"/>
    <n v="0"/>
    <n v="0"/>
    <n v="0"/>
    <n v="0"/>
    <n v="0"/>
    <x v="2"/>
    <x v="4"/>
  </r>
  <r>
    <n v="161"/>
    <s v="ต่างจังหวัด"/>
    <s v="มหาสารคาม"/>
    <s v="หักเสาไฟฟ้า"/>
    <s v="UG69/LCA/0013"/>
    <s v="บริเวณในพื้นที่เทศบาลเมืองมหาสารคาม อ.เมืองมหาสารคาม (2 ฝั่งถนน)"/>
    <n v="5.6"/>
    <s v="KKN"/>
    <n v="2570"/>
    <m/>
    <m/>
    <s v="Done"/>
    <s v="ลงใต้ดิน+Re-route"/>
    <m/>
    <m/>
    <m/>
    <s v="Approved"/>
    <s v="16.1918836,103.2943419"/>
    <s v="16.1849251,103.3027652"/>
    <s v="60C"/>
    <m/>
    <m/>
    <n v="2"/>
    <m/>
    <m/>
    <n v="0"/>
    <n v="5"/>
    <n v="0"/>
    <n v="0"/>
    <n v="0"/>
    <n v="2"/>
    <n v="2"/>
    <x v="0"/>
    <x v="2"/>
  </r>
  <r>
    <n v="162"/>
    <s v="ต่างจังหวัด"/>
    <s v="สุราษฎร์ธานี"/>
    <s v="หักเสาไฟฟ้า"/>
    <s v="UG69/LCA/0025"/>
    <s v="ถนนการุณราษฎร์ ถนนบ้านดอน ถนนราษฎร์อุทิศ และถนนศรีวิชัย (2 ฝั่งถนน)"/>
    <n v="24"/>
    <s v="SNI"/>
    <n v="2570"/>
    <m/>
    <m/>
    <s v="Wait Duct (NT)"/>
    <s v="ลงใต้ดิน+Re-route"/>
    <m/>
    <m/>
    <m/>
    <s v="Request"/>
    <s v="9.105550233735853, 99.30378730217507"/>
    <s v="9.133285325396765, 99.31579702916935"/>
    <s v="144C"/>
    <m/>
    <m/>
    <m/>
    <n v="11"/>
    <m/>
    <n v="0"/>
    <n v="0"/>
    <n v="8"/>
    <n v="0"/>
    <n v="11"/>
    <n v="0"/>
    <n v="11"/>
    <x v="4"/>
    <x v="1"/>
  </r>
  <r>
    <n v="163"/>
    <s v="ต่างจังหวัด"/>
    <s v="ประจวบคีรีขันธ์"/>
    <s v="หักเสาไฟฟ้า"/>
    <s v="UG69/LCA/0011"/>
    <s v="ถนนดำเนินเกษม (2 ฝั่งถนน)"/>
    <n v="1.6"/>
    <s v="SNI"/>
    <n v="2570"/>
    <m/>
    <m/>
    <s v="Wait Duct (NT)"/>
    <s v="ลงใต้ดิน+Re-route"/>
    <m/>
    <m/>
    <m/>
    <s v="Request"/>
    <s v="12.567743635353802, 99.95516353805839"/>
    <s v="12.5688300256884, 99.95985074135622"/>
    <s v="144C"/>
    <m/>
    <m/>
    <m/>
    <n v="0.9"/>
    <m/>
    <n v="0"/>
    <n v="0"/>
    <n v="3"/>
    <n v="0"/>
    <n v="0.9"/>
    <n v="0"/>
    <n v="0.9"/>
    <x v="4"/>
    <x v="1"/>
  </r>
  <r>
    <n v="164"/>
    <s v="ต่างจังหวัด"/>
    <s v="ชลบุรี"/>
    <s v="หักเสาไฟฟ้า"/>
    <s v="UG69/LCA/0026"/>
    <s v="ถนนดอนหัวฬ่อ (2 ฝั่งถนน) (โกดังดับเบิลเอชเอ - สี่แยกดอนขุนวัง)"/>
    <n v="2.8"/>
    <s v="CBI"/>
    <n v="2570"/>
    <m/>
    <m/>
    <s v="Wait Duct (NT)"/>
    <s v="ลงใต้ดิน"/>
    <m/>
    <m/>
    <m/>
    <s v="Request"/>
    <s v="13.4240138,101.0405688"/>
    <s v="13.4293077,101.0379493"/>
    <s v="60C"/>
    <m/>
    <m/>
    <n v="2"/>
    <m/>
    <m/>
    <n v="0"/>
    <n v="5"/>
    <n v="0"/>
    <n v="0"/>
    <n v="1"/>
    <n v="1"/>
    <n v="2"/>
    <x v="4"/>
    <x v="0"/>
  </r>
  <r>
    <n v="165"/>
    <s v="ต่างจังหวัด"/>
    <s v="น่าน"/>
    <s v="หักเสาไฟฟ้า"/>
    <s v="UG69/LCA/0023"/>
    <s v="ถนนสุริยพงษ์ (2 ฝั่งถนน) (หน้าวัดมิ่งเมือง - สี่แยกลอมเก้าก๋าว)"/>
    <n v="2"/>
    <s v="CMI"/>
    <n v="2570"/>
    <m/>
    <m/>
    <s v="Done"/>
    <s v="ลงใต้ดิน+Re-route"/>
    <m/>
    <m/>
    <m/>
    <s v="Approved"/>
    <s v="18.77569275040313, 100.76592972971278"/>
    <s v="18.7755708554388, 100.7729785749768"/>
    <s v="24C"/>
    <m/>
    <n v="2.2000000000000002"/>
    <m/>
    <m/>
    <m/>
    <n v="6"/>
    <n v="0"/>
    <n v="0"/>
    <n v="0"/>
    <n v="0.2"/>
    <n v="2"/>
    <n v="2.2000000000000002"/>
    <x v="0"/>
    <x v="0"/>
  </r>
  <r>
    <n v="166"/>
    <s v="ต่างจังหวัด"/>
    <s v="อุทัยธานี"/>
    <s v="หักเสาไฟฟ้า"/>
    <s v="UG69/LCA/0014"/>
    <s v="ถนนท่าช้าง ,ถนนชัยพฤกษ์ (เลียบแม่น้ำสะแกกัง) ,ถนนศรีอุทัย,ถนนราษฎร์อุทิศ,ถนนเดิมศิริ (2 ฝั่งถนน)"/>
    <n v="10"/>
    <s v="PLK"/>
    <n v="2570"/>
    <m/>
    <m/>
    <s v="Wait Duct (NT)"/>
    <s v="ลงใต้ดิน+Re-route"/>
    <m/>
    <m/>
    <m/>
    <s v="Request"/>
    <s v="15.378270830384242, 100.02129133624034"/>
    <s v="15.381949280705381, 100.02910532223447"/>
    <s v="24C"/>
    <m/>
    <n v="0.93"/>
    <m/>
    <m/>
    <m/>
    <n v="3"/>
    <n v="0"/>
    <n v="0"/>
    <n v="0"/>
    <n v="0.9"/>
    <n v="0.03"/>
    <n v="0.93"/>
    <x v="4"/>
    <x v="2"/>
  </r>
  <r>
    <n v="167"/>
    <s v="ต่างจังหวัด"/>
    <s v="ภูเก็ต"/>
    <s v="หักเสาไฟฟ้า"/>
    <s v="UG69/LCA/0016"/>
    <s v="บริเวณถนนกะตะ,ท้ายนา,เหมือนใจอุทิศ และเกศขวัญ (2 ฝั่งถนน)"/>
    <n v="12.8"/>
    <s v="PKT"/>
    <n v="2570"/>
    <m/>
    <m/>
    <s v="Wait Duct (NT)"/>
    <s v="ลงใต้ดิน+Re-route"/>
    <m/>
    <m/>
    <m/>
    <s v="Approved"/>
    <s v="7.829537193, 98.29521251"/>
    <s v="7.815652046520528, 98.30077815673611"/>
    <s v="144C"/>
    <m/>
    <m/>
    <m/>
    <n v="8.1"/>
    <m/>
    <n v="0"/>
    <n v="0"/>
    <n v="8"/>
    <n v="0"/>
    <n v="4.05"/>
    <n v="4.05"/>
    <n v="8.1"/>
    <x v="4"/>
    <x v="0"/>
  </r>
  <r>
    <n v="168"/>
    <s v="ต่างจังหวัด"/>
    <s v="สงขลา"/>
    <s v="หักเสาไฟฟ้า"/>
    <s v="UG69/LCA/0028"/>
    <s v="ถนนนครนอก ,ทะเลหลวง , ราษฎร์อุทิศ 1 (2 ฝั่งถนน)"/>
    <n v="10"/>
    <s v="HYI"/>
    <n v="2570"/>
    <m/>
    <m/>
    <s v="Wait Duct (NT)"/>
    <s v="ลงใต้ดิน"/>
    <m/>
    <m/>
    <m/>
    <s v="Request"/>
    <s v="7.192852906294072, 100.59459831486309"/>
    <s v="7.196686467995045, 100.60656785771606"/>
    <s v="144C"/>
    <m/>
    <m/>
    <m/>
    <n v="1"/>
    <m/>
    <n v="0"/>
    <n v="0"/>
    <n v="3"/>
    <n v="0"/>
    <n v="1"/>
    <n v="0"/>
    <n v="1"/>
    <x v="4"/>
    <x v="1"/>
  </r>
  <r>
    <n v="169"/>
    <s v="ต่างจังหวัด"/>
    <s v="ชลบุรี"/>
    <s v="หักเสาไฟฟ้า"/>
    <s v="UG69/LCA/0029"/>
    <s v="ถนนลงหาดบางแสน (2 ฝั่งถนน) (แยกร้านจรินทร์ - วงเวียนหาดบางแสน)"/>
    <n v="0.6"/>
    <s v="CBI"/>
    <n v="2570"/>
    <m/>
    <m/>
    <s v="n/a"/>
    <s v="ไม่มีโครงข่าย"/>
    <s v="no"/>
    <n v="0"/>
    <n v="0"/>
    <s v="n/a"/>
    <s v="13.2846717,100.9176437"/>
    <s v="13.2839175,100.9158153"/>
    <s v="n/a"/>
    <m/>
    <m/>
    <m/>
    <m/>
    <m/>
    <n v="0"/>
    <n v="0"/>
    <n v="0"/>
    <n v="0"/>
    <n v="0"/>
    <n v="0"/>
    <n v="0"/>
    <x v="2"/>
    <x v="4"/>
  </r>
  <r>
    <n v="170"/>
    <s v="ต่างจังหวัด"/>
    <s v="น่าน"/>
    <s v="หักเสาไฟฟ้า"/>
    <s v="UG69/LCA/0024"/>
    <s v="ถนนมหาพรหม (2 ฝั่งถนน) (ศาลากลางหลังเก่า - หลังวัดช้างคำ)"/>
    <n v="0.64"/>
    <s v="CMI"/>
    <n v="2570"/>
    <m/>
    <m/>
    <s v="n/a"/>
    <s v="ไม่มีโครงข่าย"/>
    <s v="no"/>
    <n v="0"/>
    <n v="0"/>
    <s v="n/a"/>
    <s v="18.777161523926665, 100.77166672889604"/>
    <s v="18.776385794347828, 100.77476199340494"/>
    <s v="n/a"/>
    <m/>
    <m/>
    <m/>
    <m/>
    <m/>
    <n v="0"/>
    <n v="0"/>
    <n v="0"/>
    <n v="0"/>
    <n v="0"/>
    <n v="0"/>
    <n v="0"/>
    <x v="2"/>
    <x v="4"/>
  </r>
  <r>
    <n v="171"/>
    <s v="ต่างจังหวัด"/>
    <s v="ภูเก็ต"/>
    <s v="หักเสาไฟฟ้า"/>
    <s v="UG69/LCA/0017"/>
    <s v="บริเวณถนนซอยหาดสุรินทร์ 8 (2 ฝั่งถนน)"/>
    <n v="4.8"/>
    <s v="PKT"/>
    <n v="2570"/>
    <m/>
    <m/>
    <s v="Wait Duct (NT)"/>
    <s v="ลงใต้ดิน+Re-route"/>
    <m/>
    <m/>
    <m/>
    <s v="Approved"/>
    <s v=" 7.981316,98.281040"/>
    <s v="7.9757102163169495, 98.28049249066144"/>
    <s v="144C"/>
    <m/>
    <m/>
    <m/>
    <n v="13"/>
    <m/>
    <n v="0"/>
    <n v="0"/>
    <n v="8"/>
    <n v="0"/>
    <n v="13"/>
    <n v="0"/>
    <n v="13"/>
    <x v="4"/>
    <x v="2"/>
  </r>
  <r>
    <n v="172"/>
    <s v="ต่างจังหวัด"/>
    <s v="ชลบุรี"/>
    <s v="หักเสาไฟฟ้า"/>
    <s v="UG69/LCA/0030"/>
    <s v="บริเวณโรงแรมเอสทู ถึงวงเวียนรอบเขาสามมุข และถนนบางแสนสาย 2 (ระยะที่ 5) (2 ฝั่งถนน)"/>
    <n v="7.2"/>
    <s v="CBI"/>
    <n v="2570"/>
    <m/>
    <m/>
    <s v="Wait Duct (NT)"/>
    <s v="Re-route"/>
    <m/>
    <m/>
    <m/>
    <s v="Request"/>
    <s v="13.2989444,100.9021292"/>
    <s v="13.3067587,100.9077058; 13.2849581,100.9179316"/>
    <s v="60C"/>
    <m/>
    <m/>
    <n v="4.5"/>
    <m/>
    <m/>
    <n v="0"/>
    <n v="8"/>
    <n v="0"/>
    <n v="0"/>
    <n v="4"/>
    <n v="0.5"/>
    <n v="4.5"/>
    <x v="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6A14B3-0806-4C93-9BBC-04119E47A65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9" firstHeaderRow="0" firstDataRow="1" firstDataCol="1"/>
  <pivotFields count="34"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43" showAll="0" defaultSubtotal="0"/>
    <pivotField showAll="0" defaultSubtotal="0"/>
    <pivotField numFmtI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numFmtId="188" showAll="0" defaultSubtotal="0"/>
    <pivotField dataField="1" showAll="0" defaultSubtotal="0"/>
    <pivotField dataField="1" showAll="0" defaultSubtotal="0"/>
    <pivotField dataField="1" showAll="0" defaultSubtotal="0"/>
    <pivotField numFmtId="43" showAll="0" defaultSubtotal="0"/>
    <pivotField numFmtId="43" showAll="0" defaultSubtotal="0"/>
    <pivotField numFmtId="43" showAll="0" defaultSubtotal="0"/>
    <pivotField axis="axisRow" showAll="0" defaultSubtotal="0">
      <items count="6">
        <item x="3"/>
        <item x="0"/>
        <item x="1"/>
        <item x="4"/>
        <item x="5"/>
        <item x="2"/>
      </items>
    </pivotField>
    <pivotField axis="axisRow" showAll="0" defaultSubtotal="0">
      <items count="5">
        <item x="4"/>
        <item x="3"/>
        <item x="2"/>
        <item x="0"/>
        <item x="1"/>
      </items>
    </pivotField>
  </pivotFields>
  <rowFields count="2">
    <field x="32"/>
    <field x="33"/>
  </rowFields>
  <rowItems count="26">
    <i>
      <x/>
    </i>
    <i r="1">
      <x v="2"/>
    </i>
    <i r="1">
      <x v="4"/>
    </i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>
      <x v="5"/>
    </i>
    <i r="1">
      <x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12C" fld="20" baseField="0" baseItem="0"/>
    <dataField name="Sum of 24C" fld="21" baseField="0" baseItem="0"/>
    <dataField name="Sum of 60C" fld="22" baseField="0" baseItem="0"/>
    <dataField name="Sum of 144C" fld="23" baseField="0" baseItem="0"/>
    <dataField name="Sum of 216C" fld="24" baseField="0" baseItem="0"/>
    <dataField name="Sum of Enclosure 12C/24C" fld="25" baseField="0" baseItem="0" numFmtId="188"/>
    <dataField name="Sum of Enclosure 60C" fld="26" baseField="0" baseItem="0"/>
    <dataField name="Sum of Enclosure 144C" fld="27" baseField="0" baseItem="0"/>
    <dataField name="Sum of Enclosure 312C" fld="2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387AD-5C38-4694-BEAC-701C18F40BE6}">
  <sheetPr>
    <tabColor rgb="FF0033CC"/>
  </sheetPr>
  <dimension ref="A1:Z175"/>
  <sheetViews>
    <sheetView showGridLines="0" tabSelected="1" zoomScale="80" zoomScaleNormal="80" workbookViewId="0">
      <pane xSplit="7" ySplit="3" topLeftCell="R163" activePane="bottomRight" state="frozen"/>
      <selection pane="topRight" activeCell="H1" sqref="H1"/>
      <selection pane="bottomLeft" activeCell="A4" sqref="A4"/>
      <selection pane="bottomRight" activeCell="E90" sqref="E90"/>
    </sheetView>
  </sheetViews>
  <sheetFormatPr defaultColWidth="9" defaultRowHeight="18.75" x14ac:dyDescent="0.2"/>
  <cols>
    <col min="1" max="1" width="9" style="1" customWidth="1"/>
    <col min="2" max="2" width="19.5" style="1" hidden="1" customWidth="1"/>
    <col min="3" max="3" width="15.875" style="1" customWidth="1"/>
    <col min="4" max="4" width="12.5" style="1" customWidth="1"/>
    <col min="5" max="5" width="17" style="1" customWidth="1"/>
    <col min="6" max="6" width="54.375" style="2" customWidth="1"/>
    <col min="7" max="9" width="9" style="1" customWidth="1"/>
    <col min="10" max="10" width="11" style="1" customWidth="1"/>
    <col min="11" max="11" width="11.875" style="1" customWidth="1"/>
    <col min="12" max="12" width="15.25" style="1" customWidth="1"/>
    <col min="13" max="13" width="13.5" style="1" customWidth="1"/>
    <col min="14" max="14" width="9" style="1" customWidth="1"/>
    <col min="15" max="15" width="12.5" style="1" customWidth="1"/>
    <col min="16" max="16" width="12" style="1" customWidth="1"/>
    <col min="17" max="17" width="13.5" style="1" customWidth="1"/>
    <col min="18" max="18" width="35.625" style="2" customWidth="1"/>
    <col min="19" max="19" width="40.875" style="2" customWidth="1"/>
    <col min="20" max="20" width="11" style="1" customWidth="1"/>
    <col min="21" max="21" width="13.25" style="1" customWidth="1"/>
    <col min="22" max="22" width="16.75" style="1" customWidth="1"/>
    <col min="23" max="23" width="15.5" style="1" customWidth="1"/>
    <col min="24" max="25" width="12.25" style="1" customWidth="1"/>
    <col min="26" max="26" width="17.75" style="1" bestFit="1" customWidth="1"/>
    <col min="27" max="16384" width="9" style="1"/>
  </cols>
  <sheetData>
    <row r="1" spans="1:25" x14ac:dyDescent="0.2">
      <c r="A1" s="32">
        <v>0.95</v>
      </c>
      <c r="B1" s="32">
        <v>0.15</v>
      </c>
      <c r="C1" s="3"/>
      <c r="D1" s="3"/>
      <c r="E1" s="3"/>
      <c r="F1" s="33">
        <f>G1*9650*12</f>
        <v>111284958.00000003</v>
      </c>
      <c r="G1" s="5">
        <f>SUBTOTAL(9,G4:G201)</f>
        <v>961.0100000000001</v>
      </c>
      <c r="H1" s="3"/>
      <c r="I1" s="3"/>
      <c r="J1" s="3"/>
      <c r="K1" s="3"/>
      <c r="L1" s="6">
        <f>SUBTOTAL(3,L4:L201)</f>
        <v>172</v>
      </c>
      <c r="M1" s="6">
        <f>SUBTOTAL(3,M4:M201)</f>
        <v>172</v>
      </c>
      <c r="N1" s="6">
        <f>SUBTOTAL(3,N4:N201)</f>
        <v>172</v>
      </c>
      <c r="O1" s="5">
        <f>SUBTOTAL(9,O4:O201)</f>
        <v>96426913.3588074</v>
      </c>
      <c r="P1" s="5">
        <f>SUBTOTAL(9,P4:P201)</f>
        <v>50705469.59857285</v>
      </c>
      <c r="Q1" s="5">
        <f>SUBTOTAL(9,Q4:Q201)</f>
        <v>0</v>
      </c>
      <c r="R1" s="4"/>
      <c r="T1" s="6">
        <f>SUBTOTAL(3,T4:T201)</f>
        <v>172</v>
      </c>
      <c r="U1" s="5">
        <f>SUBTOTAL(9,U4:U201)</f>
        <v>633.92750000000001</v>
      </c>
      <c r="V1" s="5">
        <f>SUBTOTAL(9,V4:V201)</f>
        <v>182.92749999999998</v>
      </c>
      <c r="W1" s="5">
        <f>SUBTOTAL(9,W4:W201)</f>
        <v>814.35500000000002</v>
      </c>
      <c r="X1" s="6">
        <f>SUBTOTAL(3,X4:X201)</f>
        <v>172</v>
      </c>
      <c r="Y1" s="6">
        <f>SUBTOTAL(3,Y4:Y201)</f>
        <v>172</v>
      </c>
    </row>
    <row r="2" spans="1:25" x14ac:dyDescent="0.2">
      <c r="A2" s="3"/>
      <c r="B2" s="3"/>
      <c r="C2" s="3"/>
      <c r="D2" s="3"/>
      <c r="E2" s="3"/>
      <c r="F2" s="4"/>
      <c r="G2" s="5"/>
      <c r="H2" s="3"/>
      <c r="I2" s="3"/>
      <c r="J2" s="3"/>
      <c r="K2" s="3"/>
      <c r="L2" s="6"/>
      <c r="M2" s="6"/>
      <c r="N2" s="6"/>
      <c r="O2" s="5"/>
      <c r="P2" s="5"/>
      <c r="Q2" s="5"/>
      <c r="R2" s="28" t="s">
        <v>0</v>
      </c>
      <c r="S2" s="28" t="s">
        <v>0</v>
      </c>
      <c r="T2" s="25" t="s">
        <v>0</v>
      </c>
      <c r="U2" s="25" t="s">
        <v>0</v>
      </c>
      <c r="V2" s="25" t="s">
        <v>0</v>
      </c>
      <c r="W2" s="26"/>
      <c r="X2" s="25" t="s">
        <v>0</v>
      </c>
      <c r="Y2" s="25" t="s">
        <v>0</v>
      </c>
    </row>
    <row r="3" spans="1:25" ht="25.5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8" t="s">
        <v>7</v>
      </c>
      <c r="H3" s="7" t="s">
        <v>8</v>
      </c>
      <c r="I3" s="7" t="s">
        <v>9</v>
      </c>
      <c r="J3" s="9" t="s">
        <v>10</v>
      </c>
      <c r="K3" s="9" t="s">
        <v>11</v>
      </c>
      <c r="L3" s="9" t="s">
        <v>12</v>
      </c>
      <c r="M3" s="10" t="s">
        <v>13</v>
      </c>
      <c r="N3" s="10" t="s">
        <v>14</v>
      </c>
      <c r="O3" s="11" t="s">
        <v>15</v>
      </c>
      <c r="P3" s="11" t="s">
        <v>16</v>
      </c>
      <c r="Q3" s="24" t="s">
        <v>17</v>
      </c>
      <c r="R3" s="29" t="s">
        <v>18</v>
      </c>
      <c r="S3" s="29" t="s">
        <v>19</v>
      </c>
      <c r="T3" s="12" t="s">
        <v>20</v>
      </c>
      <c r="U3" s="12" t="s">
        <v>21</v>
      </c>
      <c r="V3" s="12" t="s">
        <v>22</v>
      </c>
      <c r="W3" s="12" t="s">
        <v>23</v>
      </c>
      <c r="X3" s="12" t="s">
        <v>24</v>
      </c>
      <c r="Y3" s="12" t="s">
        <v>25</v>
      </c>
    </row>
    <row r="4" spans="1:25" x14ac:dyDescent="0.2">
      <c r="A4" s="13">
        <v>1</v>
      </c>
      <c r="B4" s="13" t="s">
        <v>26</v>
      </c>
      <c r="C4" s="13" t="s">
        <v>27</v>
      </c>
      <c r="D4" s="13" t="s">
        <v>28</v>
      </c>
      <c r="E4" s="13" t="s">
        <v>29</v>
      </c>
      <c r="F4" s="14" t="s">
        <v>30</v>
      </c>
      <c r="G4" s="15">
        <v>3.6</v>
      </c>
      <c r="H4" s="16" t="s">
        <v>31</v>
      </c>
      <c r="I4" s="16">
        <v>2569</v>
      </c>
      <c r="J4" s="17" t="s">
        <v>32</v>
      </c>
      <c r="K4" s="17" t="s">
        <v>33</v>
      </c>
      <c r="L4" s="16" t="s">
        <v>34</v>
      </c>
      <c r="M4" s="16" t="s">
        <v>35</v>
      </c>
      <c r="N4" s="16" t="s">
        <v>36</v>
      </c>
      <c r="O4" s="15">
        <v>574206.00333333295</v>
      </c>
      <c r="P4" s="15">
        <v>185280</v>
      </c>
      <c r="Q4" s="15" t="s">
        <v>37</v>
      </c>
      <c r="R4" s="30" t="s">
        <v>38</v>
      </c>
      <c r="S4" s="30" t="s">
        <v>39</v>
      </c>
      <c r="T4" s="15" t="s">
        <v>40</v>
      </c>
      <c r="U4" s="15">
        <v>3.42</v>
      </c>
      <c r="V4" s="15">
        <v>0.54</v>
      </c>
      <c r="W4" s="15">
        <f>U4+V4</f>
        <v>3.96</v>
      </c>
      <c r="X4" s="16">
        <v>2568</v>
      </c>
      <c r="Y4" s="15" t="s">
        <v>41</v>
      </c>
    </row>
    <row r="5" spans="1:25" x14ac:dyDescent="0.2">
      <c r="A5" s="13">
        <v>2</v>
      </c>
      <c r="B5" s="13" t="s">
        <v>26</v>
      </c>
      <c r="C5" s="13" t="s">
        <v>27</v>
      </c>
      <c r="D5" s="13" t="s">
        <v>28</v>
      </c>
      <c r="E5" s="13" t="s">
        <v>42</v>
      </c>
      <c r="F5" s="14" t="s">
        <v>43</v>
      </c>
      <c r="G5" s="15">
        <v>3.7</v>
      </c>
      <c r="H5" s="16" t="s">
        <v>44</v>
      </c>
      <c r="I5" s="16">
        <v>2569</v>
      </c>
      <c r="J5" s="17">
        <v>45658</v>
      </c>
      <c r="K5" s="17">
        <v>46081</v>
      </c>
      <c r="L5" s="16" t="s">
        <v>34</v>
      </c>
      <c r="M5" s="16" t="s">
        <v>35</v>
      </c>
      <c r="N5" s="16" t="s">
        <v>36</v>
      </c>
      <c r="O5" s="15">
        <v>920982.5763208993</v>
      </c>
      <c r="P5" s="15">
        <v>495000</v>
      </c>
      <c r="Q5" s="15" t="s">
        <v>37</v>
      </c>
      <c r="R5" s="30" t="s">
        <v>45</v>
      </c>
      <c r="S5" s="30" t="s">
        <v>46</v>
      </c>
      <c r="T5" s="15" t="s">
        <v>40</v>
      </c>
      <c r="U5" s="15">
        <v>3.5150000000000001</v>
      </c>
      <c r="V5" s="15">
        <v>0.55500000000000005</v>
      </c>
      <c r="W5" s="15">
        <f t="shared" ref="W5:W68" si="0">U5+V5</f>
        <v>4.07</v>
      </c>
      <c r="X5" s="16">
        <v>2568</v>
      </c>
      <c r="Y5" s="15" t="s">
        <v>47</v>
      </c>
    </row>
    <row r="6" spans="1:25" ht="25.5" x14ac:dyDescent="0.2">
      <c r="A6" s="13">
        <v>3</v>
      </c>
      <c r="B6" s="13" t="s">
        <v>26</v>
      </c>
      <c r="C6" s="13" t="s">
        <v>27</v>
      </c>
      <c r="D6" s="13" t="s">
        <v>48</v>
      </c>
      <c r="E6" s="13" t="s">
        <v>49</v>
      </c>
      <c r="F6" s="14" t="s">
        <v>50</v>
      </c>
      <c r="G6" s="15">
        <v>0.6</v>
      </c>
      <c r="H6" s="16" t="s">
        <v>31</v>
      </c>
      <c r="I6" s="16">
        <v>2569</v>
      </c>
      <c r="J6" s="17">
        <v>45716</v>
      </c>
      <c r="K6" s="17">
        <v>46064</v>
      </c>
      <c r="L6" s="16" t="s">
        <v>34</v>
      </c>
      <c r="M6" s="16" t="s">
        <v>35</v>
      </c>
      <c r="N6" s="16" t="s">
        <v>36</v>
      </c>
      <c r="O6" s="15">
        <v>126596.98036363638</v>
      </c>
      <c r="P6" s="15">
        <v>36775.271999999997</v>
      </c>
      <c r="Q6" s="15" t="s">
        <v>37</v>
      </c>
      <c r="R6" s="30" t="s">
        <v>51</v>
      </c>
      <c r="S6" s="30" t="s">
        <v>52</v>
      </c>
      <c r="T6" s="15" t="s">
        <v>53</v>
      </c>
      <c r="U6" s="15">
        <v>0.56999999999999995</v>
      </c>
      <c r="V6" s="15">
        <v>0.09</v>
      </c>
      <c r="W6" s="15">
        <f t="shared" si="0"/>
        <v>0.65999999999999992</v>
      </c>
      <c r="X6" s="16">
        <v>2568</v>
      </c>
      <c r="Y6" s="15" t="s">
        <v>47</v>
      </c>
    </row>
    <row r="7" spans="1:25" x14ac:dyDescent="0.2">
      <c r="A7" s="13">
        <v>4</v>
      </c>
      <c r="B7" s="13" t="s">
        <v>26</v>
      </c>
      <c r="C7" s="13" t="s">
        <v>27</v>
      </c>
      <c r="D7" s="13" t="s">
        <v>28</v>
      </c>
      <c r="E7" s="13" t="s">
        <v>54</v>
      </c>
      <c r="F7" s="14" t="s">
        <v>55</v>
      </c>
      <c r="G7" s="15">
        <v>0.5</v>
      </c>
      <c r="H7" s="16" t="s">
        <v>56</v>
      </c>
      <c r="I7" s="16">
        <v>2569</v>
      </c>
      <c r="J7" s="17">
        <v>45808</v>
      </c>
      <c r="K7" s="17">
        <v>46091</v>
      </c>
      <c r="L7" s="16" t="s">
        <v>34</v>
      </c>
      <c r="M7" s="16" t="s">
        <v>35</v>
      </c>
      <c r="N7" s="16" t="s">
        <v>36</v>
      </c>
      <c r="O7" s="15">
        <v>28750</v>
      </c>
      <c r="P7" s="15">
        <v>14036.363636363636</v>
      </c>
      <c r="Q7" s="15" t="s">
        <v>37</v>
      </c>
      <c r="R7" s="30" t="s">
        <v>57</v>
      </c>
      <c r="S7" s="30" t="s">
        <v>58</v>
      </c>
      <c r="T7" s="15" t="s">
        <v>53</v>
      </c>
      <c r="U7" s="15">
        <v>0.47499999999999998</v>
      </c>
      <c r="V7" s="15">
        <v>7.4999999999999997E-2</v>
      </c>
      <c r="W7" s="15">
        <f>U7+V7</f>
        <v>0.54999999999999993</v>
      </c>
      <c r="X7" s="16">
        <v>2569</v>
      </c>
      <c r="Y7" s="15" t="s">
        <v>59</v>
      </c>
    </row>
    <row r="8" spans="1:25" x14ac:dyDescent="0.2">
      <c r="A8" s="13">
        <v>5</v>
      </c>
      <c r="B8" s="13" t="s">
        <v>26</v>
      </c>
      <c r="C8" s="13" t="s">
        <v>27</v>
      </c>
      <c r="D8" s="13" t="s">
        <v>28</v>
      </c>
      <c r="E8" s="13" t="s">
        <v>60</v>
      </c>
      <c r="F8" s="14" t="s">
        <v>61</v>
      </c>
      <c r="G8" s="15">
        <v>2.8</v>
      </c>
      <c r="H8" s="16" t="s">
        <v>56</v>
      </c>
      <c r="I8" s="16">
        <v>2569</v>
      </c>
      <c r="J8" s="17">
        <v>45808</v>
      </c>
      <c r="K8" s="17">
        <v>46077</v>
      </c>
      <c r="L8" s="16" t="s">
        <v>34</v>
      </c>
      <c r="M8" s="16" t="s">
        <v>35</v>
      </c>
      <c r="N8" s="16" t="s">
        <v>36</v>
      </c>
      <c r="O8" s="15">
        <v>161000</v>
      </c>
      <c r="P8" s="15">
        <v>78603.636363636368</v>
      </c>
      <c r="Q8" s="15" t="s">
        <v>37</v>
      </c>
      <c r="R8" s="30" t="s">
        <v>62</v>
      </c>
      <c r="S8" s="30" t="s">
        <v>57</v>
      </c>
      <c r="T8" s="15" t="s">
        <v>53</v>
      </c>
      <c r="U8" s="15">
        <v>2.6599999999999997</v>
      </c>
      <c r="V8" s="15">
        <v>0.42</v>
      </c>
      <c r="W8" s="15">
        <f t="shared" si="0"/>
        <v>3.0799999999999996</v>
      </c>
      <c r="X8" s="16">
        <v>2569</v>
      </c>
      <c r="Y8" s="15" t="s">
        <v>59</v>
      </c>
    </row>
    <row r="9" spans="1:25" x14ac:dyDescent="0.2">
      <c r="A9" s="13">
        <v>6</v>
      </c>
      <c r="B9" s="13" t="s">
        <v>26</v>
      </c>
      <c r="C9" s="13" t="s">
        <v>27</v>
      </c>
      <c r="D9" s="13" t="s">
        <v>28</v>
      </c>
      <c r="E9" s="13" t="s">
        <v>63</v>
      </c>
      <c r="F9" s="14" t="s">
        <v>64</v>
      </c>
      <c r="G9" s="15">
        <v>3</v>
      </c>
      <c r="H9" s="16" t="s">
        <v>44</v>
      </c>
      <c r="I9" s="16">
        <v>2569</v>
      </c>
      <c r="J9" s="17">
        <v>45658</v>
      </c>
      <c r="K9" s="17">
        <v>46111</v>
      </c>
      <c r="L9" s="16" t="s">
        <v>34</v>
      </c>
      <c r="M9" s="16" t="s">
        <v>35</v>
      </c>
      <c r="N9" s="16" t="s">
        <v>36</v>
      </c>
      <c r="O9" s="15">
        <v>637974.77417475719</v>
      </c>
      <c r="P9" s="15">
        <v>313671.84466019413</v>
      </c>
      <c r="Q9" s="15" t="s">
        <v>37</v>
      </c>
      <c r="R9" s="30" t="s">
        <v>46</v>
      </c>
      <c r="S9" s="30" t="s">
        <v>65</v>
      </c>
      <c r="T9" s="15" t="s">
        <v>53</v>
      </c>
      <c r="U9" s="15">
        <v>2.8499999999999996</v>
      </c>
      <c r="V9" s="15">
        <v>0.44999999999999996</v>
      </c>
      <c r="W9" s="15">
        <f t="shared" si="0"/>
        <v>3.3</v>
      </c>
      <c r="X9" s="16">
        <v>2568</v>
      </c>
      <c r="Y9" s="15" t="s">
        <v>66</v>
      </c>
    </row>
    <row r="10" spans="1:25" x14ac:dyDescent="0.2">
      <c r="A10" s="13">
        <v>7</v>
      </c>
      <c r="B10" s="13" t="s">
        <v>26</v>
      </c>
      <c r="C10" s="13" t="s">
        <v>27</v>
      </c>
      <c r="D10" s="13" t="s">
        <v>48</v>
      </c>
      <c r="E10" s="13" t="s">
        <v>67</v>
      </c>
      <c r="F10" s="14" t="s">
        <v>68</v>
      </c>
      <c r="G10" s="15">
        <v>1</v>
      </c>
      <c r="H10" s="16" t="s">
        <v>31</v>
      </c>
      <c r="I10" s="16">
        <v>2569</v>
      </c>
      <c r="J10" s="17">
        <v>45716</v>
      </c>
      <c r="K10" s="17">
        <v>46112</v>
      </c>
      <c r="L10" s="15" t="s">
        <v>69</v>
      </c>
      <c r="M10" s="16" t="s">
        <v>70</v>
      </c>
      <c r="N10" s="16" t="s">
        <v>71</v>
      </c>
      <c r="O10" s="15">
        <v>0</v>
      </c>
      <c r="P10" s="15">
        <v>0</v>
      </c>
      <c r="Q10" s="15" t="s">
        <v>69</v>
      </c>
      <c r="R10" s="30" t="s">
        <v>72</v>
      </c>
      <c r="S10" s="30" t="s">
        <v>73</v>
      </c>
      <c r="T10" s="15" t="s">
        <v>69</v>
      </c>
      <c r="U10" s="15">
        <v>0</v>
      </c>
      <c r="V10" s="15">
        <v>0</v>
      </c>
      <c r="W10" s="15">
        <f t="shared" si="0"/>
        <v>0</v>
      </c>
      <c r="X10" s="16" t="s">
        <v>69</v>
      </c>
      <c r="Y10" s="15" t="s">
        <v>69</v>
      </c>
    </row>
    <row r="11" spans="1:25" x14ac:dyDescent="0.2">
      <c r="A11" s="13">
        <v>8</v>
      </c>
      <c r="B11" s="13" t="s">
        <v>26</v>
      </c>
      <c r="C11" s="13" t="s">
        <v>27</v>
      </c>
      <c r="D11" s="13" t="s">
        <v>48</v>
      </c>
      <c r="E11" s="13" t="s">
        <v>74</v>
      </c>
      <c r="F11" s="14" t="s">
        <v>75</v>
      </c>
      <c r="G11" s="15">
        <v>1</v>
      </c>
      <c r="H11" s="16" t="s">
        <v>31</v>
      </c>
      <c r="I11" s="16">
        <v>2569</v>
      </c>
      <c r="J11" s="17">
        <v>45716</v>
      </c>
      <c r="K11" s="17">
        <v>46112</v>
      </c>
      <c r="L11" s="15" t="s">
        <v>69</v>
      </c>
      <c r="M11" s="16" t="s">
        <v>70</v>
      </c>
      <c r="N11" s="16" t="s">
        <v>71</v>
      </c>
      <c r="O11" s="15">
        <v>0</v>
      </c>
      <c r="P11" s="15">
        <v>0</v>
      </c>
      <c r="Q11" s="15" t="s">
        <v>69</v>
      </c>
      <c r="R11" s="30" t="s">
        <v>76</v>
      </c>
      <c r="S11" s="30" t="s">
        <v>77</v>
      </c>
      <c r="T11" s="15" t="s">
        <v>69</v>
      </c>
      <c r="U11" s="15">
        <v>0</v>
      </c>
      <c r="V11" s="15">
        <v>0</v>
      </c>
      <c r="W11" s="15">
        <f t="shared" si="0"/>
        <v>0</v>
      </c>
      <c r="X11" s="16" t="s">
        <v>69</v>
      </c>
      <c r="Y11" s="15" t="s">
        <v>69</v>
      </c>
    </row>
    <row r="12" spans="1:25" x14ac:dyDescent="0.2">
      <c r="A12" s="13">
        <v>9</v>
      </c>
      <c r="B12" s="13" t="s">
        <v>26</v>
      </c>
      <c r="C12" s="13" t="s">
        <v>27</v>
      </c>
      <c r="D12" s="13" t="s">
        <v>48</v>
      </c>
      <c r="E12" s="13" t="s">
        <v>78</v>
      </c>
      <c r="F12" s="14" t="s">
        <v>79</v>
      </c>
      <c r="G12" s="15">
        <v>0.6</v>
      </c>
      <c r="H12" s="16" t="s">
        <v>31</v>
      </c>
      <c r="I12" s="16">
        <v>2569</v>
      </c>
      <c r="J12" s="17">
        <v>45716</v>
      </c>
      <c r="K12" s="17">
        <v>46112</v>
      </c>
      <c r="L12" s="15" t="s">
        <v>69</v>
      </c>
      <c r="M12" s="16" t="s">
        <v>70</v>
      </c>
      <c r="N12" s="16" t="s">
        <v>71</v>
      </c>
      <c r="O12" s="15">
        <v>0</v>
      </c>
      <c r="P12" s="15">
        <v>0</v>
      </c>
      <c r="Q12" s="15" t="s">
        <v>69</v>
      </c>
      <c r="R12" s="30" t="s">
        <v>80</v>
      </c>
      <c r="S12" s="30" t="s">
        <v>81</v>
      </c>
      <c r="T12" s="15" t="s">
        <v>69</v>
      </c>
      <c r="U12" s="15">
        <v>0</v>
      </c>
      <c r="V12" s="15">
        <v>0</v>
      </c>
      <c r="W12" s="15">
        <f t="shared" si="0"/>
        <v>0</v>
      </c>
      <c r="X12" s="16" t="s">
        <v>69</v>
      </c>
      <c r="Y12" s="15" t="s">
        <v>69</v>
      </c>
    </row>
    <row r="13" spans="1:25" x14ac:dyDescent="0.2">
      <c r="A13" s="13">
        <v>10</v>
      </c>
      <c r="B13" s="13" t="s">
        <v>26</v>
      </c>
      <c r="C13" s="13" t="s">
        <v>27</v>
      </c>
      <c r="D13" s="13" t="s">
        <v>48</v>
      </c>
      <c r="E13" s="13" t="s">
        <v>82</v>
      </c>
      <c r="F13" s="14" t="s">
        <v>83</v>
      </c>
      <c r="G13" s="15">
        <v>0.4</v>
      </c>
      <c r="H13" s="16" t="s">
        <v>31</v>
      </c>
      <c r="I13" s="16">
        <v>2569</v>
      </c>
      <c r="J13" s="17">
        <v>45716</v>
      </c>
      <c r="K13" s="17">
        <v>46112</v>
      </c>
      <c r="L13" s="16" t="s">
        <v>34</v>
      </c>
      <c r="M13" s="16" t="s">
        <v>84</v>
      </c>
      <c r="N13" s="16" t="s">
        <v>71</v>
      </c>
      <c r="O13" s="15">
        <v>32500</v>
      </c>
      <c r="P13" s="15">
        <v>11580</v>
      </c>
      <c r="Q13" s="15" t="s">
        <v>37</v>
      </c>
      <c r="R13" s="30" t="s">
        <v>85</v>
      </c>
      <c r="S13" s="30" t="s">
        <v>86</v>
      </c>
      <c r="T13" s="15" t="s">
        <v>87</v>
      </c>
      <c r="U13" s="15">
        <v>0.38</v>
      </c>
      <c r="V13" s="15">
        <v>0.06</v>
      </c>
      <c r="W13" s="15">
        <f t="shared" si="0"/>
        <v>0.44</v>
      </c>
      <c r="X13" s="16">
        <v>2568</v>
      </c>
      <c r="Y13" s="15" t="s">
        <v>47</v>
      </c>
    </row>
    <row r="14" spans="1:25" x14ac:dyDescent="0.2">
      <c r="A14" s="13">
        <v>11</v>
      </c>
      <c r="B14" s="18" t="s">
        <v>26</v>
      </c>
      <c r="C14" s="18" t="s">
        <v>27</v>
      </c>
      <c r="D14" s="18" t="s">
        <v>48</v>
      </c>
      <c r="E14" s="18" t="s">
        <v>88</v>
      </c>
      <c r="F14" s="19" t="s">
        <v>89</v>
      </c>
      <c r="G14" s="20">
        <v>0.6</v>
      </c>
      <c r="H14" s="16" t="s">
        <v>31</v>
      </c>
      <c r="I14" s="21">
        <v>2569</v>
      </c>
      <c r="J14" s="22">
        <v>45716</v>
      </c>
      <c r="K14" s="22">
        <v>46064</v>
      </c>
      <c r="L14" s="21" t="s">
        <v>90</v>
      </c>
      <c r="M14" s="21" t="s">
        <v>35</v>
      </c>
      <c r="N14" s="16" t="s">
        <v>36</v>
      </c>
      <c r="O14" s="15">
        <v>126596.98036363638</v>
      </c>
      <c r="P14" s="15">
        <v>36775.271999999997</v>
      </c>
      <c r="Q14" s="15" t="s">
        <v>37</v>
      </c>
      <c r="R14" s="30" t="s">
        <v>91</v>
      </c>
      <c r="S14" s="30" t="s">
        <v>92</v>
      </c>
      <c r="T14" s="15" t="s">
        <v>53</v>
      </c>
      <c r="U14" s="15">
        <v>0.56999999999999995</v>
      </c>
      <c r="V14" s="15">
        <v>0.09</v>
      </c>
      <c r="W14" s="15">
        <f t="shared" si="0"/>
        <v>0.65999999999999992</v>
      </c>
      <c r="X14" s="16">
        <v>2568</v>
      </c>
      <c r="Y14" s="15" t="s">
        <v>47</v>
      </c>
    </row>
    <row r="15" spans="1:25" x14ac:dyDescent="0.2">
      <c r="A15" s="13">
        <v>12</v>
      </c>
      <c r="B15" s="13" t="s">
        <v>26</v>
      </c>
      <c r="C15" s="13" t="s">
        <v>27</v>
      </c>
      <c r="D15" s="13" t="s">
        <v>28</v>
      </c>
      <c r="E15" s="13" t="s">
        <v>93</v>
      </c>
      <c r="F15" s="14" t="s">
        <v>94</v>
      </c>
      <c r="G15" s="15">
        <v>8.4</v>
      </c>
      <c r="H15" s="16" t="s">
        <v>56</v>
      </c>
      <c r="I15" s="16">
        <v>2569</v>
      </c>
      <c r="J15" s="17">
        <v>45961</v>
      </c>
      <c r="K15" s="17">
        <v>46142</v>
      </c>
      <c r="L15" s="16" t="s">
        <v>34</v>
      </c>
      <c r="M15" s="16" t="s">
        <v>35</v>
      </c>
      <c r="N15" s="16" t="s">
        <v>36</v>
      </c>
      <c r="O15" s="15">
        <v>875435.26</v>
      </c>
      <c r="P15" s="15">
        <v>296626.15384615387</v>
      </c>
      <c r="Q15" s="15" t="s">
        <v>37</v>
      </c>
      <c r="R15" s="30" t="s">
        <v>95</v>
      </c>
      <c r="S15" s="30" t="s">
        <v>96</v>
      </c>
      <c r="T15" s="15" t="s">
        <v>40</v>
      </c>
      <c r="U15" s="15">
        <v>7.9799999999999995</v>
      </c>
      <c r="V15" s="15">
        <v>1.26</v>
      </c>
      <c r="W15" s="15">
        <f t="shared" si="0"/>
        <v>9.24</v>
      </c>
      <c r="X15" s="16">
        <v>2568</v>
      </c>
      <c r="Y15" s="15" t="s">
        <v>47</v>
      </c>
    </row>
    <row r="16" spans="1:25" x14ac:dyDescent="0.2">
      <c r="A16" s="13">
        <v>13</v>
      </c>
      <c r="B16" s="18" t="s">
        <v>26</v>
      </c>
      <c r="C16" s="18" t="s">
        <v>27</v>
      </c>
      <c r="D16" s="18" t="s">
        <v>48</v>
      </c>
      <c r="E16" s="18" t="s">
        <v>97</v>
      </c>
      <c r="F16" s="19" t="s">
        <v>98</v>
      </c>
      <c r="G16" s="20">
        <v>0.6</v>
      </c>
      <c r="H16" s="16" t="s">
        <v>31</v>
      </c>
      <c r="I16" s="21">
        <v>2569</v>
      </c>
      <c r="J16" s="22">
        <v>45716</v>
      </c>
      <c r="K16" s="22">
        <v>46064</v>
      </c>
      <c r="L16" s="21" t="s">
        <v>90</v>
      </c>
      <c r="M16" s="21" t="s">
        <v>35</v>
      </c>
      <c r="N16" s="16" t="s">
        <v>36</v>
      </c>
      <c r="O16" s="15">
        <v>126596.98036363638</v>
      </c>
      <c r="P16" s="15">
        <v>36775.271999999997</v>
      </c>
      <c r="Q16" s="15" t="s">
        <v>37</v>
      </c>
      <c r="R16" s="30" t="s">
        <v>99</v>
      </c>
      <c r="S16" s="30" t="s">
        <v>100</v>
      </c>
      <c r="T16" s="15" t="s">
        <v>53</v>
      </c>
      <c r="U16" s="15">
        <v>0.56999999999999995</v>
      </c>
      <c r="V16" s="15">
        <v>0.09</v>
      </c>
      <c r="W16" s="15">
        <f t="shared" si="0"/>
        <v>0.65999999999999992</v>
      </c>
      <c r="X16" s="16">
        <v>2568</v>
      </c>
      <c r="Y16" s="15" t="s">
        <v>47</v>
      </c>
    </row>
    <row r="17" spans="1:25" x14ac:dyDescent="0.2">
      <c r="A17" s="13">
        <v>14</v>
      </c>
      <c r="B17" s="13" t="s">
        <v>26</v>
      </c>
      <c r="C17" s="13" t="s">
        <v>27</v>
      </c>
      <c r="D17" s="13" t="s">
        <v>28</v>
      </c>
      <c r="E17" s="13" t="s">
        <v>101</v>
      </c>
      <c r="F17" s="14" t="s">
        <v>102</v>
      </c>
      <c r="G17" s="15">
        <v>1.6</v>
      </c>
      <c r="H17" s="16" t="s">
        <v>31</v>
      </c>
      <c r="I17" s="16">
        <v>2569</v>
      </c>
      <c r="J17" s="17">
        <v>45838</v>
      </c>
      <c r="K17" s="17">
        <v>46173</v>
      </c>
      <c r="L17" s="16" t="s">
        <v>90</v>
      </c>
      <c r="M17" s="16" t="s">
        <v>35</v>
      </c>
      <c r="N17" s="16" t="s">
        <v>36</v>
      </c>
      <c r="O17" s="15">
        <v>166500</v>
      </c>
      <c r="P17" s="15">
        <v>86850</v>
      </c>
      <c r="Q17" s="15" t="s">
        <v>37</v>
      </c>
      <c r="R17" s="30" t="s">
        <v>103</v>
      </c>
      <c r="S17" s="30" t="s">
        <v>104</v>
      </c>
      <c r="T17" s="15" t="s">
        <v>40</v>
      </c>
      <c r="U17" s="15">
        <v>1.52</v>
      </c>
      <c r="V17" s="15">
        <v>0.24</v>
      </c>
      <c r="W17" s="15">
        <f t="shared" si="0"/>
        <v>1.76</v>
      </c>
      <c r="X17" s="16">
        <v>2569</v>
      </c>
      <c r="Y17" s="15" t="s">
        <v>59</v>
      </c>
    </row>
    <row r="18" spans="1:25" x14ac:dyDescent="0.2">
      <c r="A18" s="13">
        <v>15</v>
      </c>
      <c r="B18" s="13" t="s">
        <v>26</v>
      </c>
      <c r="C18" s="13" t="s">
        <v>27</v>
      </c>
      <c r="D18" s="13" t="s">
        <v>28</v>
      </c>
      <c r="E18" s="13" t="s">
        <v>105</v>
      </c>
      <c r="F18" s="14" t="s">
        <v>106</v>
      </c>
      <c r="G18" s="15">
        <v>7.2</v>
      </c>
      <c r="H18" s="16" t="s">
        <v>31</v>
      </c>
      <c r="I18" s="16">
        <v>2569</v>
      </c>
      <c r="J18" s="17">
        <v>46081</v>
      </c>
      <c r="K18" s="17">
        <v>46181</v>
      </c>
      <c r="L18" s="16" t="s">
        <v>34</v>
      </c>
      <c r="M18" s="16" t="s">
        <v>35</v>
      </c>
      <c r="N18" s="16" t="s">
        <v>71</v>
      </c>
      <c r="O18" s="15">
        <v>5051985.2531428598</v>
      </c>
      <c r="P18" s="15">
        <v>2417417.1428571399</v>
      </c>
      <c r="Q18" s="15" t="s">
        <v>37</v>
      </c>
      <c r="R18" s="30" t="s">
        <v>107</v>
      </c>
      <c r="S18" s="30" t="s">
        <v>108</v>
      </c>
      <c r="T18" s="15" t="s">
        <v>40</v>
      </c>
      <c r="U18" s="15">
        <v>6.84</v>
      </c>
      <c r="V18" s="15">
        <v>1.08</v>
      </c>
      <c r="W18" s="15">
        <f t="shared" si="0"/>
        <v>7.92</v>
      </c>
      <c r="X18" s="16">
        <v>2567</v>
      </c>
      <c r="Y18" s="15" t="s">
        <v>59</v>
      </c>
    </row>
    <row r="19" spans="1:25" x14ac:dyDescent="0.2">
      <c r="A19" s="13">
        <v>16</v>
      </c>
      <c r="B19" s="13" t="s">
        <v>26</v>
      </c>
      <c r="C19" s="13" t="s">
        <v>27</v>
      </c>
      <c r="D19" s="13" t="s">
        <v>28</v>
      </c>
      <c r="E19" s="13" t="s">
        <v>109</v>
      </c>
      <c r="F19" s="14" t="s">
        <v>110</v>
      </c>
      <c r="G19" s="15">
        <v>2</v>
      </c>
      <c r="H19" s="16" t="s">
        <v>44</v>
      </c>
      <c r="I19" s="16">
        <v>2569</v>
      </c>
      <c r="J19" s="17">
        <v>45658</v>
      </c>
      <c r="K19" s="17">
        <v>46203</v>
      </c>
      <c r="L19" s="16" t="s">
        <v>90</v>
      </c>
      <c r="M19" s="16" t="s">
        <v>35</v>
      </c>
      <c r="N19" s="16" t="s">
        <v>36</v>
      </c>
      <c r="O19" s="15">
        <v>425316.51611650485</v>
      </c>
      <c r="P19" s="15">
        <v>209114.56310679612</v>
      </c>
      <c r="Q19" s="15" t="s">
        <v>37</v>
      </c>
      <c r="R19" s="30" t="s">
        <v>65</v>
      </c>
      <c r="S19" s="30" t="s">
        <v>111</v>
      </c>
      <c r="T19" s="15" t="s">
        <v>53</v>
      </c>
      <c r="U19" s="15">
        <v>1.9</v>
      </c>
      <c r="V19" s="15">
        <v>0.3</v>
      </c>
      <c r="W19" s="15">
        <f t="shared" si="0"/>
        <v>2.1999999999999997</v>
      </c>
      <c r="X19" s="16">
        <v>2568</v>
      </c>
      <c r="Y19" s="15" t="s">
        <v>66</v>
      </c>
    </row>
    <row r="20" spans="1:25" x14ac:dyDescent="0.2">
      <c r="A20" s="13">
        <v>17</v>
      </c>
      <c r="B20" s="13" t="s">
        <v>26</v>
      </c>
      <c r="C20" s="13" t="s">
        <v>27</v>
      </c>
      <c r="D20" s="13" t="s">
        <v>48</v>
      </c>
      <c r="E20" s="13" t="s">
        <v>112</v>
      </c>
      <c r="F20" s="14" t="s">
        <v>113</v>
      </c>
      <c r="G20" s="15">
        <v>0.3</v>
      </c>
      <c r="H20" s="16" t="s">
        <v>31</v>
      </c>
      <c r="I20" s="16">
        <v>2569</v>
      </c>
      <c r="J20" s="17">
        <v>45716</v>
      </c>
      <c r="K20" s="17">
        <v>46064</v>
      </c>
      <c r="L20" s="16" t="s">
        <v>34</v>
      </c>
      <c r="M20" s="16" t="s">
        <v>35</v>
      </c>
      <c r="N20" s="16" t="s">
        <v>36</v>
      </c>
      <c r="O20" s="15">
        <v>63298.49018181819</v>
      </c>
      <c r="P20" s="15">
        <v>18387.635999999999</v>
      </c>
      <c r="Q20" s="15" t="s">
        <v>37</v>
      </c>
      <c r="R20" s="30" t="s">
        <v>114</v>
      </c>
      <c r="S20" s="30" t="s">
        <v>115</v>
      </c>
      <c r="T20" s="15" t="s">
        <v>53</v>
      </c>
      <c r="U20" s="15">
        <v>0.28499999999999998</v>
      </c>
      <c r="V20" s="15">
        <v>4.4999999999999998E-2</v>
      </c>
      <c r="W20" s="15">
        <f t="shared" si="0"/>
        <v>0.32999999999999996</v>
      </c>
      <c r="X20" s="16">
        <v>2568</v>
      </c>
      <c r="Y20" s="15" t="s">
        <v>47</v>
      </c>
    </row>
    <row r="21" spans="1:25" x14ac:dyDescent="0.2">
      <c r="A21" s="13">
        <v>18</v>
      </c>
      <c r="B21" s="13" t="s">
        <v>26</v>
      </c>
      <c r="C21" s="13" t="s">
        <v>27</v>
      </c>
      <c r="D21" s="13" t="s">
        <v>28</v>
      </c>
      <c r="E21" s="13" t="s">
        <v>116</v>
      </c>
      <c r="F21" s="14" t="s">
        <v>117</v>
      </c>
      <c r="G21" s="15">
        <v>3.6</v>
      </c>
      <c r="H21" s="16" t="s">
        <v>118</v>
      </c>
      <c r="I21" s="16">
        <v>2569</v>
      </c>
      <c r="J21" s="17">
        <v>46081</v>
      </c>
      <c r="K21" s="17">
        <v>46229</v>
      </c>
      <c r="L21" s="16" t="s">
        <v>90</v>
      </c>
      <c r="M21" s="16" t="s">
        <v>35</v>
      </c>
      <c r="N21" s="16" t="s">
        <v>119</v>
      </c>
      <c r="O21" s="15">
        <v>822500</v>
      </c>
      <c r="P21" s="15">
        <v>405300</v>
      </c>
      <c r="Q21" s="15" t="s">
        <v>37</v>
      </c>
      <c r="R21" s="30" t="s">
        <v>120</v>
      </c>
      <c r="S21" s="30" t="s">
        <v>121</v>
      </c>
      <c r="T21" s="15" t="s">
        <v>40</v>
      </c>
      <c r="U21" s="15">
        <v>3.42</v>
      </c>
      <c r="V21" s="15">
        <v>0.54</v>
      </c>
      <c r="W21" s="15">
        <f t="shared" si="0"/>
        <v>3.96</v>
      </c>
      <c r="X21" s="16">
        <v>2569</v>
      </c>
      <c r="Y21" s="15" t="s">
        <v>41</v>
      </c>
    </row>
    <row r="22" spans="1:25" x14ac:dyDescent="0.2">
      <c r="A22" s="13">
        <v>19</v>
      </c>
      <c r="B22" s="13" t="s">
        <v>26</v>
      </c>
      <c r="C22" s="13" t="s">
        <v>122</v>
      </c>
      <c r="D22" s="13" t="s">
        <v>48</v>
      </c>
      <c r="E22" s="13" t="s">
        <v>123</v>
      </c>
      <c r="F22" s="14" t="s">
        <v>124</v>
      </c>
      <c r="G22" s="15">
        <v>5.2</v>
      </c>
      <c r="H22" s="16" t="s">
        <v>56</v>
      </c>
      <c r="I22" s="16">
        <v>2569</v>
      </c>
      <c r="J22" s="17">
        <v>46173</v>
      </c>
      <c r="K22" s="17">
        <v>46234</v>
      </c>
      <c r="L22" s="16" t="s">
        <v>34</v>
      </c>
      <c r="M22" s="16" t="s">
        <v>35</v>
      </c>
      <c r="N22" s="16" t="s">
        <v>36</v>
      </c>
      <c r="O22" s="15">
        <v>609637.44333333336</v>
      </c>
      <c r="P22" s="15">
        <v>299150</v>
      </c>
      <c r="Q22" s="15" t="s">
        <v>37</v>
      </c>
      <c r="R22" s="30" t="s">
        <v>125</v>
      </c>
      <c r="S22" s="30" t="s">
        <v>126</v>
      </c>
      <c r="T22" s="15" t="s">
        <v>40</v>
      </c>
      <c r="U22" s="15">
        <v>4.9399999999999995</v>
      </c>
      <c r="V22" s="15">
        <v>0.78</v>
      </c>
      <c r="W22" s="15">
        <f t="shared" si="0"/>
        <v>5.72</v>
      </c>
      <c r="X22" s="16">
        <v>2568</v>
      </c>
      <c r="Y22" s="15" t="s">
        <v>47</v>
      </c>
    </row>
    <row r="23" spans="1:25" x14ac:dyDescent="0.2">
      <c r="A23" s="13">
        <v>20</v>
      </c>
      <c r="B23" s="13" t="s">
        <v>26</v>
      </c>
      <c r="C23" s="13" t="s">
        <v>27</v>
      </c>
      <c r="D23" s="13" t="s">
        <v>48</v>
      </c>
      <c r="E23" s="13" t="s">
        <v>127</v>
      </c>
      <c r="F23" s="14" t="s">
        <v>128</v>
      </c>
      <c r="G23" s="15">
        <v>0.35</v>
      </c>
      <c r="H23" s="16" t="s">
        <v>31</v>
      </c>
      <c r="I23" s="16">
        <v>2569</v>
      </c>
      <c r="J23" s="17">
        <v>45716</v>
      </c>
      <c r="K23" s="17">
        <v>46064</v>
      </c>
      <c r="L23" s="16" t="s">
        <v>34</v>
      </c>
      <c r="M23" s="16" t="s">
        <v>35</v>
      </c>
      <c r="N23" s="16" t="s">
        <v>36</v>
      </c>
      <c r="O23" s="15">
        <v>73848.238545454558</v>
      </c>
      <c r="P23" s="15">
        <v>21452.242000000002</v>
      </c>
      <c r="Q23" s="15" t="s">
        <v>37</v>
      </c>
      <c r="R23" s="30" t="s">
        <v>129</v>
      </c>
      <c r="S23" s="30" t="s">
        <v>130</v>
      </c>
      <c r="T23" s="15" t="s">
        <v>53</v>
      </c>
      <c r="U23" s="15">
        <v>0.33249999999999996</v>
      </c>
      <c r="V23" s="15">
        <v>5.2499999999999998E-2</v>
      </c>
      <c r="W23" s="15">
        <f t="shared" si="0"/>
        <v>0.38499999999999995</v>
      </c>
      <c r="X23" s="16">
        <v>2568</v>
      </c>
      <c r="Y23" s="15" t="s">
        <v>47</v>
      </c>
    </row>
    <row r="24" spans="1:25" x14ac:dyDescent="0.2">
      <c r="A24" s="13">
        <v>21</v>
      </c>
      <c r="B24" s="13" t="s">
        <v>26</v>
      </c>
      <c r="C24" s="13" t="s">
        <v>27</v>
      </c>
      <c r="D24" s="13" t="s">
        <v>28</v>
      </c>
      <c r="E24" s="13" t="s">
        <v>131</v>
      </c>
      <c r="F24" s="14" t="s">
        <v>132</v>
      </c>
      <c r="G24" s="15">
        <v>2.2999999999999998</v>
      </c>
      <c r="H24" s="16" t="s">
        <v>31</v>
      </c>
      <c r="I24" s="16">
        <v>2569</v>
      </c>
      <c r="J24" s="17">
        <v>45961</v>
      </c>
      <c r="K24" s="17">
        <v>46235</v>
      </c>
      <c r="L24" s="16" t="s">
        <v>133</v>
      </c>
      <c r="M24" s="16" t="s">
        <v>134</v>
      </c>
      <c r="N24" s="16" t="s">
        <v>36</v>
      </c>
      <c r="O24" s="15">
        <v>116400</v>
      </c>
      <c r="P24" s="15">
        <v>57900</v>
      </c>
      <c r="Q24" s="15" t="s">
        <v>787</v>
      </c>
      <c r="R24" s="30" t="s">
        <v>135</v>
      </c>
      <c r="S24" s="30" t="s">
        <v>136</v>
      </c>
      <c r="T24" s="15" t="s">
        <v>53</v>
      </c>
      <c r="U24" s="15">
        <v>2.1849999999999996</v>
      </c>
      <c r="V24" s="15">
        <v>0.34499999999999997</v>
      </c>
      <c r="W24" s="15">
        <f t="shared" si="0"/>
        <v>2.5299999999999994</v>
      </c>
      <c r="X24" s="16">
        <v>2570</v>
      </c>
      <c r="Y24" s="15" t="s">
        <v>66</v>
      </c>
    </row>
    <row r="25" spans="1:25" x14ac:dyDescent="0.2">
      <c r="A25" s="13">
        <v>22</v>
      </c>
      <c r="B25" s="13" t="s">
        <v>26</v>
      </c>
      <c r="C25" s="13" t="s">
        <v>27</v>
      </c>
      <c r="D25" s="13" t="s">
        <v>28</v>
      </c>
      <c r="E25" s="13" t="s">
        <v>137</v>
      </c>
      <c r="F25" s="14" t="s">
        <v>138</v>
      </c>
      <c r="G25" s="15">
        <v>5.8</v>
      </c>
      <c r="H25" s="16" t="s">
        <v>44</v>
      </c>
      <c r="I25" s="16">
        <v>2569</v>
      </c>
      <c r="J25" s="17">
        <v>45808</v>
      </c>
      <c r="K25" s="17">
        <v>46264</v>
      </c>
      <c r="L25" s="16" t="s">
        <v>133</v>
      </c>
      <c r="M25" s="16" t="s">
        <v>35</v>
      </c>
      <c r="N25" s="16" t="s">
        <v>71</v>
      </c>
      <c r="O25" s="15">
        <v>420000</v>
      </c>
      <c r="P25" s="15">
        <v>277920</v>
      </c>
      <c r="Q25" s="15" t="s">
        <v>787</v>
      </c>
      <c r="R25" s="30" t="s">
        <v>829</v>
      </c>
      <c r="S25" s="30" t="s">
        <v>140</v>
      </c>
      <c r="T25" s="15" t="s">
        <v>53</v>
      </c>
      <c r="U25" s="15">
        <v>5.51</v>
      </c>
      <c r="V25" s="15">
        <v>0.87</v>
      </c>
      <c r="W25" s="15">
        <f t="shared" si="0"/>
        <v>6.38</v>
      </c>
      <c r="X25" s="16">
        <v>2570</v>
      </c>
      <c r="Y25" s="15" t="s">
        <v>66</v>
      </c>
    </row>
    <row r="26" spans="1:25" x14ac:dyDescent="0.2">
      <c r="A26" s="13">
        <v>23</v>
      </c>
      <c r="B26" s="13" t="s">
        <v>26</v>
      </c>
      <c r="C26" s="13" t="s">
        <v>27</v>
      </c>
      <c r="D26" s="13" t="s">
        <v>48</v>
      </c>
      <c r="E26" s="13" t="s">
        <v>141</v>
      </c>
      <c r="F26" s="14" t="s">
        <v>142</v>
      </c>
      <c r="G26" s="15">
        <v>0.3</v>
      </c>
      <c r="H26" s="16" t="s">
        <v>31</v>
      </c>
      <c r="I26" s="16">
        <v>2569</v>
      </c>
      <c r="J26" s="17">
        <v>45716</v>
      </c>
      <c r="K26" s="17">
        <v>46064</v>
      </c>
      <c r="L26" s="16" t="s">
        <v>34</v>
      </c>
      <c r="M26" s="16" t="s">
        <v>35</v>
      </c>
      <c r="N26" s="16" t="s">
        <v>36</v>
      </c>
      <c r="O26" s="15">
        <v>63298.49018181819</v>
      </c>
      <c r="P26" s="15">
        <v>18387.635999999999</v>
      </c>
      <c r="Q26" s="15" t="s">
        <v>37</v>
      </c>
      <c r="R26" s="30" t="s">
        <v>143</v>
      </c>
      <c r="S26" s="30" t="s">
        <v>144</v>
      </c>
      <c r="T26" s="15" t="s">
        <v>53</v>
      </c>
      <c r="U26" s="15">
        <v>0.28499999999999998</v>
      </c>
      <c r="V26" s="15">
        <v>4.4999999999999998E-2</v>
      </c>
      <c r="W26" s="15">
        <f t="shared" si="0"/>
        <v>0.32999999999999996</v>
      </c>
      <c r="X26" s="16">
        <v>2568</v>
      </c>
      <c r="Y26" s="15" t="s">
        <v>47</v>
      </c>
    </row>
    <row r="27" spans="1:25" x14ac:dyDescent="0.2">
      <c r="A27" s="13">
        <v>24</v>
      </c>
      <c r="B27" s="13" t="s">
        <v>26</v>
      </c>
      <c r="C27" s="13" t="s">
        <v>27</v>
      </c>
      <c r="D27" s="13" t="s">
        <v>28</v>
      </c>
      <c r="E27" s="13" t="s">
        <v>145</v>
      </c>
      <c r="F27" s="14" t="s">
        <v>146</v>
      </c>
      <c r="G27" s="15">
        <v>1.5</v>
      </c>
      <c r="H27" s="16" t="s">
        <v>56</v>
      </c>
      <c r="I27" s="16">
        <v>2569</v>
      </c>
      <c r="J27" s="17">
        <v>46173</v>
      </c>
      <c r="K27" s="17">
        <v>46279</v>
      </c>
      <c r="L27" s="16" t="s">
        <v>133</v>
      </c>
      <c r="M27" s="16" t="s">
        <v>134</v>
      </c>
      <c r="N27" s="16" t="s">
        <v>36</v>
      </c>
      <c r="O27" s="15">
        <v>94125</v>
      </c>
      <c r="P27" s="15">
        <v>86850</v>
      </c>
      <c r="Q27" s="15" t="s">
        <v>37</v>
      </c>
      <c r="R27" s="30" t="s">
        <v>147</v>
      </c>
      <c r="S27" s="30" t="s">
        <v>148</v>
      </c>
      <c r="T27" s="15" t="s">
        <v>53</v>
      </c>
      <c r="U27" s="15">
        <v>1.4249999999999998</v>
      </c>
      <c r="V27" s="15">
        <v>0.22499999999999998</v>
      </c>
      <c r="W27" s="15">
        <f t="shared" si="0"/>
        <v>1.65</v>
      </c>
      <c r="X27" s="16">
        <v>2569</v>
      </c>
      <c r="Y27" s="15" t="s">
        <v>59</v>
      </c>
    </row>
    <row r="28" spans="1:25" x14ac:dyDescent="0.2">
      <c r="A28" s="13">
        <v>25</v>
      </c>
      <c r="B28" s="18" t="s">
        <v>26</v>
      </c>
      <c r="C28" s="18" t="s">
        <v>149</v>
      </c>
      <c r="D28" s="18" t="s">
        <v>28</v>
      </c>
      <c r="E28" s="18" t="s">
        <v>150</v>
      </c>
      <c r="F28" s="19" t="s">
        <v>151</v>
      </c>
      <c r="G28" s="20">
        <v>10.4</v>
      </c>
      <c r="H28" s="16" t="s">
        <v>118</v>
      </c>
      <c r="I28" s="21">
        <v>2569</v>
      </c>
      <c r="J28" s="22">
        <v>46203</v>
      </c>
      <c r="K28" s="22">
        <v>46295</v>
      </c>
      <c r="L28" s="21" t="s">
        <v>90</v>
      </c>
      <c r="M28" s="21" t="s">
        <v>35</v>
      </c>
      <c r="N28" s="16" t="s">
        <v>36</v>
      </c>
      <c r="O28" s="15">
        <v>1313624.0123857302</v>
      </c>
      <c r="P28" s="15">
        <v>487132</v>
      </c>
      <c r="Q28" s="15" t="s">
        <v>37</v>
      </c>
      <c r="R28" s="30" t="s">
        <v>152</v>
      </c>
      <c r="S28" s="30" t="s">
        <v>153</v>
      </c>
      <c r="T28" s="15" t="s">
        <v>40</v>
      </c>
      <c r="U28" s="15">
        <v>9.879999999999999</v>
      </c>
      <c r="V28" s="15">
        <v>1.56</v>
      </c>
      <c r="W28" s="15">
        <f t="shared" si="0"/>
        <v>11.44</v>
      </c>
      <c r="X28" s="16">
        <v>2568</v>
      </c>
      <c r="Y28" s="15" t="s">
        <v>47</v>
      </c>
    </row>
    <row r="29" spans="1:25" x14ac:dyDescent="0.2">
      <c r="A29" s="13">
        <v>26</v>
      </c>
      <c r="B29" s="13" t="s">
        <v>26</v>
      </c>
      <c r="C29" s="13" t="s">
        <v>27</v>
      </c>
      <c r="D29" s="13" t="s">
        <v>48</v>
      </c>
      <c r="E29" s="13" t="s">
        <v>154</v>
      </c>
      <c r="F29" s="14" t="s">
        <v>155</v>
      </c>
      <c r="G29" s="15">
        <v>9.4</v>
      </c>
      <c r="H29" s="16" t="s">
        <v>56</v>
      </c>
      <c r="I29" s="16">
        <v>2569</v>
      </c>
      <c r="J29" s="17">
        <v>46234</v>
      </c>
      <c r="K29" s="17">
        <v>46305</v>
      </c>
      <c r="L29" s="16" t="s">
        <v>133</v>
      </c>
      <c r="M29" s="16" t="s">
        <v>35</v>
      </c>
      <c r="N29" s="16" t="s">
        <v>36</v>
      </c>
      <c r="O29" s="15">
        <v>1212600</v>
      </c>
      <c r="P29" s="15">
        <v>653112</v>
      </c>
      <c r="Q29" s="15" t="s">
        <v>787</v>
      </c>
      <c r="R29" s="30" t="s">
        <v>156</v>
      </c>
      <c r="S29" s="30" t="s">
        <v>157</v>
      </c>
      <c r="T29" s="15" t="s">
        <v>40</v>
      </c>
      <c r="U29" s="15">
        <v>8.93</v>
      </c>
      <c r="V29" s="15">
        <v>1.41</v>
      </c>
      <c r="W29" s="15">
        <f t="shared" si="0"/>
        <v>10.34</v>
      </c>
      <c r="X29" s="16">
        <v>2570</v>
      </c>
      <c r="Y29" s="15" t="s">
        <v>59</v>
      </c>
    </row>
    <row r="30" spans="1:25" x14ac:dyDescent="0.2">
      <c r="A30" s="13">
        <v>27</v>
      </c>
      <c r="B30" s="13" t="s">
        <v>26</v>
      </c>
      <c r="C30" s="13" t="s">
        <v>27</v>
      </c>
      <c r="D30" s="13" t="s">
        <v>28</v>
      </c>
      <c r="E30" s="13" t="s">
        <v>158</v>
      </c>
      <c r="F30" s="14" t="s">
        <v>159</v>
      </c>
      <c r="G30" s="15">
        <v>1.1000000000000001</v>
      </c>
      <c r="H30" s="16" t="s">
        <v>31</v>
      </c>
      <c r="I30" s="16">
        <v>2569</v>
      </c>
      <c r="J30" s="17">
        <v>46568</v>
      </c>
      <c r="K30" s="17"/>
      <c r="L30" s="16" t="s">
        <v>133</v>
      </c>
      <c r="M30" s="16" t="s">
        <v>84</v>
      </c>
      <c r="N30" s="16" t="s">
        <v>71</v>
      </c>
      <c r="O30" s="15">
        <v>33600</v>
      </c>
      <c r="P30" s="15">
        <v>23160</v>
      </c>
      <c r="Q30" s="15" t="s">
        <v>787</v>
      </c>
      <c r="R30" s="30" t="s">
        <v>160</v>
      </c>
      <c r="S30" s="30" t="s">
        <v>161</v>
      </c>
      <c r="T30" s="15" t="s">
        <v>87</v>
      </c>
      <c r="U30" s="15">
        <v>1.0449999999999999</v>
      </c>
      <c r="V30" s="15">
        <v>0.16500000000000001</v>
      </c>
      <c r="W30" s="15">
        <f t="shared" si="0"/>
        <v>1.21</v>
      </c>
      <c r="X30" s="16">
        <v>2571</v>
      </c>
      <c r="Y30" s="15" t="s">
        <v>66</v>
      </c>
    </row>
    <row r="31" spans="1:25" x14ac:dyDescent="0.2">
      <c r="A31" s="13">
        <v>28</v>
      </c>
      <c r="B31" s="13" t="s">
        <v>26</v>
      </c>
      <c r="C31" s="13" t="s">
        <v>27</v>
      </c>
      <c r="D31" s="13" t="s">
        <v>28</v>
      </c>
      <c r="E31" s="13" t="s">
        <v>162</v>
      </c>
      <c r="F31" s="14" t="s">
        <v>163</v>
      </c>
      <c r="G31" s="15">
        <v>5</v>
      </c>
      <c r="H31" s="16" t="s">
        <v>56</v>
      </c>
      <c r="I31" s="16">
        <v>2569</v>
      </c>
      <c r="J31" s="17">
        <v>46660</v>
      </c>
      <c r="K31" s="17"/>
      <c r="L31" s="16" t="s">
        <v>133</v>
      </c>
      <c r="M31" s="16" t="s">
        <v>35</v>
      </c>
      <c r="N31" s="16" t="s">
        <v>36</v>
      </c>
      <c r="O31" s="15">
        <v>348300</v>
      </c>
      <c r="P31" s="15">
        <v>187596</v>
      </c>
      <c r="Q31" s="15" t="s">
        <v>787</v>
      </c>
      <c r="R31" s="30" t="s">
        <v>164</v>
      </c>
      <c r="S31" s="30" t="s">
        <v>165</v>
      </c>
      <c r="T31" s="15" t="s">
        <v>53</v>
      </c>
      <c r="U31" s="15">
        <v>4.75</v>
      </c>
      <c r="V31" s="15">
        <v>0.75</v>
      </c>
      <c r="W31" s="15">
        <f t="shared" si="0"/>
        <v>5.5</v>
      </c>
      <c r="X31" s="16">
        <v>2571</v>
      </c>
      <c r="Y31" s="15" t="s">
        <v>59</v>
      </c>
    </row>
    <row r="32" spans="1:25" x14ac:dyDescent="0.2">
      <c r="A32" s="13">
        <v>29</v>
      </c>
      <c r="B32" s="13" t="s">
        <v>26</v>
      </c>
      <c r="C32" s="13" t="s">
        <v>27</v>
      </c>
      <c r="D32" s="13" t="s">
        <v>28</v>
      </c>
      <c r="E32" s="13" t="s">
        <v>166</v>
      </c>
      <c r="F32" s="14" t="s">
        <v>167</v>
      </c>
      <c r="G32" s="15">
        <v>0.4</v>
      </c>
      <c r="H32" s="16" t="s">
        <v>118</v>
      </c>
      <c r="I32" s="16">
        <v>2569</v>
      </c>
      <c r="J32" s="17">
        <v>46234</v>
      </c>
      <c r="K32" s="17">
        <v>46325</v>
      </c>
      <c r="L32" s="16" t="s">
        <v>133</v>
      </c>
      <c r="M32" s="16" t="s">
        <v>35</v>
      </c>
      <c r="N32" s="16" t="s">
        <v>36</v>
      </c>
      <c r="O32" s="15">
        <v>77400</v>
      </c>
      <c r="P32" s="15">
        <v>27792</v>
      </c>
      <c r="Q32" s="15" t="s">
        <v>787</v>
      </c>
      <c r="R32" s="30" t="s">
        <v>168</v>
      </c>
      <c r="S32" s="30" t="s">
        <v>169</v>
      </c>
      <c r="T32" s="15" t="s">
        <v>40</v>
      </c>
      <c r="U32" s="15">
        <v>0.38</v>
      </c>
      <c r="V32" s="15">
        <v>0.06</v>
      </c>
      <c r="W32" s="15">
        <f t="shared" si="0"/>
        <v>0.44</v>
      </c>
      <c r="X32" s="16">
        <v>2570</v>
      </c>
      <c r="Y32" s="15" t="s">
        <v>59</v>
      </c>
    </row>
    <row r="33" spans="1:25" x14ac:dyDescent="0.2">
      <c r="A33" s="13">
        <v>30</v>
      </c>
      <c r="B33" s="18" t="s">
        <v>26</v>
      </c>
      <c r="C33" s="18" t="s">
        <v>27</v>
      </c>
      <c r="D33" s="18" t="s">
        <v>28</v>
      </c>
      <c r="E33" s="18" t="s">
        <v>170</v>
      </c>
      <c r="F33" s="19" t="s">
        <v>171</v>
      </c>
      <c r="G33" s="20">
        <v>11.2</v>
      </c>
      <c r="H33" s="16" t="s">
        <v>118</v>
      </c>
      <c r="I33" s="21">
        <v>2569</v>
      </c>
      <c r="J33" s="22">
        <v>46142</v>
      </c>
      <c r="K33" s="22">
        <v>46325</v>
      </c>
      <c r="L33" s="21" t="s">
        <v>90</v>
      </c>
      <c r="M33" s="21" t="s">
        <v>35</v>
      </c>
      <c r="N33" s="16" t="s">
        <v>36</v>
      </c>
      <c r="O33" s="15">
        <v>1516443.56</v>
      </c>
      <c r="P33" s="15">
        <v>507342.56410256407</v>
      </c>
      <c r="Q33" s="15" t="s">
        <v>37</v>
      </c>
      <c r="R33" s="30" t="s">
        <v>169</v>
      </c>
      <c r="S33" s="30" t="s">
        <v>172</v>
      </c>
      <c r="T33" s="15" t="s">
        <v>40</v>
      </c>
      <c r="U33" s="15">
        <v>10.639999999999999</v>
      </c>
      <c r="V33" s="15">
        <v>1.68</v>
      </c>
      <c r="W33" s="15">
        <f t="shared" si="0"/>
        <v>12.319999999999999</v>
      </c>
      <c r="X33" s="16">
        <v>2569</v>
      </c>
      <c r="Y33" s="15" t="s">
        <v>66</v>
      </c>
    </row>
    <row r="34" spans="1:25" x14ac:dyDescent="0.2">
      <c r="A34" s="13">
        <v>31</v>
      </c>
      <c r="B34" s="13" t="s">
        <v>26</v>
      </c>
      <c r="C34" s="13" t="s">
        <v>122</v>
      </c>
      <c r="D34" s="13" t="s">
        <v>28</v>
      </c>
      <c r="E34" s="13" t="s">
        <v>173</v>
      </c>
      <c r="F34" s="14" t="s">
        <v>174</v>
      </c>
      <c r="G34" s="15">
        <v>8.4</v>
      </c>
      <c r="H34" s="16" t="s">
        <v>56</v>
      </c>
      <c r="I34" s="16">
        <v>2569</v>
      </c>
      <c r="J34" s="17">
        <v>46203</v>
      </c>
      <c r="K34" s="17">
        <v>46327</v>
      </c>
      <c r="L34" s="16" t="s">
        <v>133</v>
      </c>
      <c r="M34" s="16" t="s">
        <v>35</v>
      </c>
      <c r="N34" s="16" t="s">
        <v>71</v>
      </c>
      <c r="O34" s="15">
        <v>1974000</v>
      </c>
      <c r="P34" s="15">
        <v>972720</v>
      </c>
      <c r="Q34" s="15" t="s">
        <v>787</v>
      </c>
      <c r="R34" s="30" t="s">
        <v>175</v>
      </c>
      <c r="S34" s="30" t="s">
        <v>176</v>
      </c>
      <c r="T34" s="15" t="s">
        <v>40</v>
      </c>
      <c r="U34" s="15">
        <v>7.9799999999999995</v>
      </c>
      <c r="V34" s="15">
        <v>1.26</v>
      </c>
      <c r="W34" s="15">
        <f t="shared" si="0"/>
        <v>9.24</v>
      </c>
      <c r="X34" s="16">
        <v>2570</v>
      </c>
      <c r="Y34" s="15" t="s">
        <v>59</v>
      </c>
    </row>
    <row r="35" spans="1:25" x14ac:dyDescent="0.2">
      <c r="A35" s="13">
        <v>32</v>
      </c>
      <c r="B35" s="13" t="s">
        <v>26</v>
      </c>
      <c r="C35" s="13" t="s">
        <v>27</v>
      </c>
      <c r="D35" s="13" t="s">
        <v>28</v>
      </c>
      <c r="E35" s="13" t="s">
        <v>177</v>
      </c>
      <c r="F35" s="14" t="s">
        <v>178</v>
      </c>
      <c r="G35" s="15">
        <v>5.6</v>
      </c>
      <c r="H35" s="16" t="s">
        <v>44</v>
      </c>
      <c r="I35" s="16">
        <v>2569</v>
      </c>
      <c r="J35" s="17">
        <v>46234</v>
      </c>
      <c r="K35" s="17">
        <v>46342</v>
      </c>
      <c r="L35" s="16" t="s">
        <v>133</v>
      </c>
      <c r="M35" s="16" t="s">
        <v>35</v>
      </c>
      <c r="N35" s="16" t="s">
        <v>36</v>
      </c>
      <c r="O35" s="15">
        <v>538199.99999999988</v>
      </c>
      <c r="P35" s="15">
        <v>319608</v>
      </c>
      <c r="Q35" s="15" t="s">
        <v>787</v>
      </c>
      <c r="R35" s="30" t="s">
        <v>179</v>
      </c>
      <c r="S35" s="30" t="s">
        <v>180</v>
      </c>
      <c r="T35" s="15" t="s">
        <v>40</v>
      </c>
      <c r="U35" s="15">
        <v>5.3199999999999994</v>
      </c>
      <c r="V35" s="15">
        <v>0.84</v>
      </c>
      <c r="W35" s="15">
        <f t="shared" si="0"/>
        <v>6.1599999999999993</v>
      </c>
      <c r="X35" s="16">
        <v>2570</v>
      </c>
      <c r="Y35" s="15" t="s">
        <v>41</v>
      </c>
    </row>
    <row r="36" spans="1:25" x14ac:dyDescent="0.2">
      <c r="A36" s="13">
        <v>33</v>
      </c>
      <c r="B36" s="13" t="s">
        <v>26</v>
      </c>
      <c r="C36" s="13" t="s">
        <v>27</v>
      </c>
      <c r="D36" s="13" t="s">
        <v>28</v>
      </c>
      <c r="E36" s="13" t="s">
        <v>181</v>
      </c>
      <c r="F36" s="14" t="s">
        <v>182</v>
      </c>
      <c r="G36" s="15">
        <v>6.6</v>
      </c>
      <c r="H36" s="16" t="s">
        <v>31</v>
      </c>
      <c r="I36" s="16">
        <v>2569</v>
      </c>
      <c r="J36" s="17">
        <v>46326</v>
      </c>
      <c r="K36" s="17">
        <v>46446</v>
      </c>
      <c r="L36" s="16" t="s">
        <v>133</v>
      </c>
      <c r="M36" s="16" t="s">
        <v>35</v>
      </c>
      <c r="N36" s="16" t="s">
        <v>71</v>
      </c>
      <c r="O36" s="15">
        <v>2437500</v>
      </c>
      <c r="P36" s="15">
        <v>868500</v>
      </c>
      <c r="Q36" s="15" t="s">
        <v>37</v>
      </c>
      <c r="R36" s="30" t="s">
        <v>183</v>
      </c>
      <c r="S36" s="30" t="s">
        <v>184</v>
      </c>
      <c r="T36" s="15" t="s">
        <v>185</v>
      </c>
      <c r="U36" s="15">
        <v>6.27</v>
      </c>
      <c r="V36" s="15">
        <v>0.98999999999999988</v>
      </c>
      <c r="W36" s="15">
        <f t="shared" si="0"/>
        <v>7.26</v>
      </c>
      <c r="X36" s="16">
        <v>2569</v>
      </c>
      <c r="Y36" s="15" t="s">
        <v>41</v>
      </c>
    </row>
    <row r="37" spans="1:25" x14ac:dyDescent="0.2">
      <c r="A37" s="13">
        <v>34</v>
      </c>
      <c r="B37" s="13" t="s">
        <v>26</v>
      </c>
      <c r="C37" s="13" t="s">
        <v>27</v>
      </c>
      <c r="D37" s="13" t="s">
        <v>48</v>
      </c>
      <c r="E37" s="13" t="s">
        <v>186</v>
      </c>
      <c r="F37" s="14" t="s">
        <v>187</v>
      </c>
      <c r="G37" s="15">
        <v>2.2000000000000002</v>
      </c>
      <c r="H37" s="16" t="s">
        <v>31</v>
      </c>
      <c r="I37" s="16">
        <v>2569</v>
      </c>
      <c r="J37" s="17">
        <v>46203</v>
      </c>
      <c r="K37" s="17">
        <v>46345</v>
      </c>
      <c r="L37" s="16" t="s">
        <v>133</v>
      </c>
      <c r="M37" s="16" t="s">
        <v>35</v>
      </c>
      <c r="N37" s="16" t="s">
        <v>36</v>
      </c>
      <c r="O37" s="15">
        <v>28800</v>
      </c>
      <c r="P37" s="15">
        <v>11580</v>
      </c>
      <c r="Q37" s="15" t="s">
        <v>787</v>
      </c>
      <c r="R37" s="30" t="s">
        <v>188</v>
      </c>
      <c r="S37" s="30" t="s">
        <v>189</v>
      </c>
      <c r="T37" s="15" t="s">
        <v>53</v>
      </c>
      <c r="U37" s="15">
        <v>2.09</v>
      </c>
      <c r="V37" s="15">
        <v>0.33</v>
      </c>
      <c r="W37" s="15">
        <f t="shared" si="0"/>
        <v>2.42</v>
      </c>
      <c r="X37" s="16">
        <v>2570</v>
      </c>
      <c r="Y37" s="15" t="s">
        <v>41</v>
      </c>
    </row>
    <row r="38" spans="1:25" x14ac:dyDescent="0.2">
      <c r="A38" s="13">
        <v>35</v>
      </c>
      <c r="B38" s="13" t="s">
        <v>26</v>
      </c>
      <c r="C38" s="13" t="s">
        <v>27</v>
      </c>
      <c r="D38" s="13" t="s">
        <v>48</v>
      </c>
      <c r="E38" s="13" t="s">
        <v>190</v>
      </c>
      <c r="F38" s="14" t="s">
        <v>191</v>
      </c>
      <c r="G38" s="15">
        <v>3.8</v>
      </c>
      <c r="H38" s="16" t="s">
        <v>56</v>
      </c>
      <c r="I38" s="16">
        <v>2569</v>
      </c>
      <c r="J38" s="17">
        <v>46234</v>
      </c>
      <c r="K38" s="17">
        <v>46349</v>
      </c>
      <c r="L38" s="16" t="s">
        <v>133</v>
      </c>
      <c r="M38" s="16" t="s">
        <v>35</v>
      </c>
      <c r="N38" s="16" t="s">
        <v>36</v>
      </c>
      <c r="O38" s="15">
        <v>490200</v>
      </c>
      <c r="P38" s="15">
        <v>264024</v>
      </c>
      <c r="Q38" s="15" t="s">
        <v>787</v>
      </c>
      <c r="R38" s="30" t="s">
        <v>192</v>
      </c>
      <c r="S38" s="30" t="s">
        <v>193</v>
      </c>
      <c r="T38" s="15" t="s">
        <v>40</v>
      </c>
      <c r="U38" s="15">
        <v>3.61</v>
      </c>
      <c r="V38" s="15">
        <v>0.56999999999999995</v>
      </c>
      <c r="W38" s="15">
        <f t="shared" si="0"/>
        <v>4.18</v>
      </c>
      <c r="X38" s="16">
        <v>2570</v>
      </c>
      <c r="Y38" s="15" t="s">
        <v>41</v>
      </c>
    </row>
    <row r="39" spans="1:25" x14ac:dyDescent="0.2">
      <c r="A39" s="13">
        <v>36</v>
      </c>
      <c r="B39" s="13" t="s">
        <v>26</v>
      </c>
      <c r="C39" s="13" t="s">
        <v>27</v>
      </c>
      <c r="D39" s="13" t="s">
        <v>48</v>
      </c>
      <c r="E39" s="13" t="s">
        <v>194</v>
      </c>
      <c r="F39" s="14" t="s">
        <v>195</v>
      </c>
      <c r="G39" s="15">
        <v>4</v>
      </c>
      <c r="H39" s="16" t="s">
        <v>56</v>
      </c>
      <c r="I39" s="16">
        <v>2569</v>
      </c>
      <c r="J39" s="17">
        <v>46234</v>
      </c>
      <c r="K39" s="17">
        <v>46350</v>
      </c>
      <c r="L39" s="16" t="s">
        <v>133</v>
      </c>
      <c r="M39" s="16" t="s">
        <v>35</v>
      </c>
      <c r="N39" s="16" t="s">
        <v>36</v>
      </c>
      <c r="O39" s="15">
        <v>516000</v>
      </c>
      <c r="P39" s="15">
        <v>277920</v>
      </c>
      <c r="Q39" s="15" t="s">
        <v>787</v>
      </c>
      <c r="R39" s="30" t="s">
        <v>193</v>
      </c>
      <c r="S39" s="30" t="s">
        <v>196</v>
      </c>
      <c r="T39" s="15" t="s">
        <v>40</v>
      </c>
      <c r="U39" s="15">
        <v>3.8</v>
      </c>
      <c r="V39" s="15">
        <v>0.6</v>
      </c>
      <c r="W39" s="15">
        <f t="shared" si="0"/>
        <v>4.3999999999999995</v>
      </c>
      <c r="X39" s="16">
        <v>2570</v>
      </c>
      <c r="Y39" s="15" t="s">
        <v>41</v>
      </c>
    </row>
    <row r="40" spans="1:25" x14ac:dyDescent="0.2">
      <c r="A40" s="13">
        <v>37</v>
      </c>
      <c r="B40" s="13" t="s">
        <v>26</v>
      </c>
      <c r="C40" s="13" t="s">
        <v>122</v>
      </c>
      <c r="D40" s="13" t="s">
        <v>28</v>
      </c>
      <c r="E40" s="13" t="s">
        <v>197</v>
      </c>
      <c r="F40" s="14" t="s">
        <v>198</v>
      </c>
      <c r="G40" s="15">
        <v>7.6</v>
      </c>
      <c r="H40" s="16" t="s">
        <v>56</v>
      </c>
      <c r="I40" s="16">
        <v>2569</v>
      </c>
      <c r="J40" s="17">
        <v>46234</v>
      </c>
      <c r="K40" s="17">
        <v>46326</v>
      </c>
      <c r="L40" s="16" t="s">
        <v>133</v>
      </c>
      <c r="M40" s="16" t="s">
        <v>35</v>
      </c>
      <c r="N40" s="16" t="s">
        <v>36</v>
      </c>
      <c r="O40" s="15">
        <v>774000</v>
      </c>
      <c r="P40" s="15">
        <v>416880</v>
      </c>
      <c r="Q40" s="15" t="s">
        <v>787</v>
      </c>
      <c r="R40" s="30" t="s">
        <v>199</v>
      </c>
      <c r="S40" s="30" t="s">
        <v>200</v>
      </c>
      <c r="T40" s="15" t="s">
        <v>40</v>
      </c>
      <c r="U40" s="15">
        <v>7.22</v>
      </c>
      <c r="V40" s="15">
        <v>1.1399999999999999</v>
      </c>
      <c r="W40" s="15">
        <f t="shared" si="0"/>
        <v>8.36</v>
      </c>
      <c r="X40" s="16">
        <v>2570</v>
      </c>
      <c r="Y40" s="15" t="s">
        <v>59</v>
      </c>
    </row>
    <row r="41" spans="1:25" x14ac:dyDescent="0.2">
      <c r="A41" s="13">
        <v>38</v>
      </c>
      <c r="B41" s="13" t="s">
        <v>26</v>
      </c>
      <c r="C41" s="13" t="s">
        <v>27</v>
      </c>
      <c r="D41" s="13" t="s">
        <v>28</v>
      </c>
      <c r="E41" s="13" t="s">
        <v>201</v>
      </c>
      <c r="F41" s="14" t="s">
        <v>202</v>
      </c>
      <c r="G41" s="15">
        <v>7.6</v>
      </c>
      <c r="H41" s="16" t="s">
        <v>56</v>
      </c>
      <c r="I41" s="16">
        <v>2569</v>
      </c>
      <c r="J41" s="17">
        <v>46387</v>
      </c>
      <c r="K41" s="17">
        <v>46350</v>
      </c>
      <c r="L41" s="16" t="s">
        <v>133</v>
      </c>
      <c r="M41" s="16" t="s">
        <v>134</v>
      </c>
      <c r="N41" s="16" t="s">
        <v>36</v>
      </c>
      <c r="O41" s="15">
        <v>516000</v>
      </c>
      <c r="P41" s="15">
        <v>277920</v>
      </c>
      <c r="Q41" s="15" t="s">
        <v>787</v>
      </c>
      <c r="R41" s="30" t="s">
        <v>203</v>
      </c>
      <c r="S41" s="30" t="s">
        <v>204</v>
      </c>
      <c r="T41" s="15" t="s">
        <v>53</v>
      </c>
      <c r="U41" s="15">
        <v>7.22</v>
      </c>
      <c r="V41" s="15">
        <v>1.1399999999999999</v>
      </c>
      <c r="W41" s="15">
        <f t="shared" si="0"/>
        <v>8.36</v>
      </c>
      <c r="X41" s="16">
        <v>2570</v>
      </c>
      <c r="Y41" s="15" t="s">
        <v>59</v>
      </c>
    </row>
    <row r="42" spans="1:25" x14ac:dyDescent="0.2">
      <c r="A42" s="13">
        <v>39</v>
      </c>
      <c r="B42" s="13" t="s">
        <v>26</v>
      </c>
      <c r="C42" s="13" t="s">
        <v>27</v>
      </c>
      <c r="D42" s="13" t="s">
        <v>28</v>
      </c>
      <c r="E42" s="13" t="s">
        <v>205</v>
      </c>
      <c r="F42" s="14" t="s">
        <v>206</v>
      </c>
      <c r="G42" s="15">
        <v>9.6</v>
      </c>
      <c r="H42" s="16" t="s">
        <v>56</v>
      </c>
      <c r="I42" s="16">
        <v>2569</v>
      </c>
      <c r="J42" s="17">
        <v>46234</v>
      </c>
      <c r="K42" s="17">
        <v>46356</v>
      </c>
      <c r="L42" s="16" t="s">
        <v>133</v>
      </c>
      <c r="M42" s="16" t="s">
        <v>35</v>
      </c>
      <c r="N42" s="16" t="s">
        <v>36</v>
      </c>
      <c r="O42" s="15">
        <v>1749000</v>
      </c>
      <c r="P42" s="15">
        <v>736488</v>
      </c>
      <c r="Q42" s="15" t="s">
        <v>787</v>
      </c>
      <c r="R42" s="30" t="s">
        <v>207</v>
      </c>
      <c r="S42" s="30" t="s">
        <v>208</v>
      </c>
      <c r="T42" s="15" t="s">
        <v>40</v>
      </c>
      <c r="U42" s="15">
        <v>9.1199999999999992</v>
      </c>
      <c r="V42" s="15">
        <v>1.44</v>
      </c>
      <c r="W42" s="15">
        <f t="shared" si="0"/>
        <v>10.559999999999999</v>
      </c>
      <c r="X42" s="16">
        <v>2570</v>
      </c>
      <c r="Y42" s="15" t="s">
        <v>41</v>
      </c>
    </row>
    <row r="43" spans="1:25" x14ac:dyDescent="0.2">
      <c r="A43" s="13">
        <v>40</v>
      </c>
      <c r="B43" s="13" t="s">
        <v>26</v>
      </c>
      <c r="C43" s="13" t="s">
        <v>27</v>
      </c>
      <c r="D43" s="13" t="s">
        <v>28</v>
      </c>
      <c r="E43" s="13" t="s">
        <v>209</v>
      </c>
      <c r="F43" s="14" t="s">
        <v>210</v>
      </c>
      <c r="G43" s="15">
        <v>11.2</v>
      </c>
      <c r="H43" s="16" t="s">
        <v>31</v>
      </c>
      <c r="I43" s="16">
        <v>2569</v>
      </c>
      <c r="J43" s="17">
        <v>46234</v>
      </c>
      <c r="K43" s="17">
        <v>46356</v>
      </c>
      <c r="L43" s="16" t="s">
        <v>133</v>
      </c>
      <c r="M43" s="16" t="s">
        <v>35</v>
      </c>
      <c r="N43" s="16" t="s">
        <v>36</v>
      </c>
      <c r="O43" s="15">
        <v>1912500</v>
      </c>
      <c r="P43" s="15">
        <v>868500</v>
      </c>
      <c r="Q43" s="15" t="s">
        <v>787</v>
      </c>
      <c r="R43" s="30" t="s">
        <v>211</v>
      </c>
      <c r="S43" s="30" t="s">
        <v>212</v>
      </c>
      <c r="T43" s="15" t="s">
        <v>40</v>
      </c>
      <c r="U43" s="15">
        <v>10.639999999999999</v>
      </c>
      <c r="V43" s="15">
        <v>1.68</v>
      </c>
      <c r="W43" s="15">
        <f t="shared" si="0"/>
        <v>12.319999999999999</v>
      </c>
      <c r="X43" s="16">
        <v>2570</v>
      </c>
      <c r="Y43" s="15" t="s">
        <v>66</v>
      </c>
    </row>
    <row r="44" spans="1:25" x14ac:dyDescent="0.2">
      <c r="A44" s="13">
        <v>41</v>
      </c>
      <c r="B44" s="18" t="s">
        <v>26</v>
      </c>
      <c r="C44" s="18" t="s">
        <v>213</v>
      </c>
      <c r="D44" s="18" t="s">
        <v>28</v>
      </c>
      <c r="E44" s="18" t="s">
        <v>214</v>
      </c>
      <c r="F44" s="19" t="s">
        <v>215</v>
      </c>
      <c r="G44" s="20">
        <v>8</v>
      </c>
      <c r="H44" s="16" t="s">
        <v>118</v>
      </c>
      <c r="I44" s="21">
        <v>2569</v>
      </c>
      <c r="J44" s="22">
        <v>46295</v>
      </c>
      <c r="K44" s="22">
        <v>46357</v>
      </c>
      <c r="L44" s="21" t="s">
        <v>90</v>
      </c>
      <c r="M44" s="21" t="s">
        <v>35</v>
      </c>
      <c r="N44" s="16" t="s">
        <v>36</v>
      </c>
      <c r="O44" s="15">
        <v>1518000</v>
      </c>
      <c r="P44" s="15">
        <v>337750</v>
      </c>
      <c r="Q44" s="15" t="s">
        <v>37</v>
      </c>
      <c r="R44" s="30" t="s">
        <v>216</v>
      </c>
      <c r="S44" s="30" t="s">
        <v>217</v>
      </c>
      <c r="T44" s="15" t="s">
        <v>53</v>
      </c>
      <c r="U44" s="15">
        <v>7.6</v>
      </c>
      <c r="V44" s="15">
        <v>1.2</v>
      </c>
      <c r="W44" s="15">
        <f t="shared" si="0"/>
        <v>8.7999999999999989</v>
      </c>
      <c r="X44" s="16">
        <v>2568</v>
      </c>
      <c r="Y44" s="15" t="s">
        <v>47</v>
      </c>
    </row>
    <row r="45" spans="1:25" x14ac:dyDescent="0.2">
      <c r="A45" s="13">
        <v>42</v>
      </c>
      <c r="B45" s="13" t="s">
        <v>26</v>
      </c>
      <c r="C45" s="13" t="s">
        <v>27</v>
      </c>
      <c r="D45" s="13" t="s">
        <v>28</v>
      </c>
      <c r="E45" s="13" t="s">
        <v>218</v>
      </c>
      <c r="F45" s="14" t="s">
        <v>219</v>
      </c>
      <c r="G45" s="15">
        <v>3.6</v>
      </c>
      <c r="H45" s="16" t="s">
        <v>56</v>
      </c>
      <c r="I45" s="16">
        <v>2569</v>
      </c>
      <c r="J45" s="17">
        <v>46234</v>
      </c>
      <c r="K45" s="17">
        <v>46357</v>
      </c>
      <c r="L45" s="16" t="s">
        <v>133</v>
      </c>
      <c r="M45" s="16" t="s">
        <v>35</v>
      </c>
      <c r="N45" s="16" t="s">
        <v>36</v>
      </c>
      <c r="O45" s="15">
        <v>309600</v>
      </c>
      <c r="P45" s="15">
        <v>166752</v>
      </c>
      <c r="Q45" s="15" t="s">
        <v>787</v>
      </c>
      <c r="R45" s="30" t="s">
        <v>220</v>
      </c>
      <c r="S45" s="30" t="s">
        <v>221</v>
      </c>
      <c r="T45" s="15" t="s">
        <v>53</v>
      </c>
      <c r="U45" s="15">
        <v>3.42</v>
      </c>
      <c r="V45" s="15">
        <v>0.54</v>
      </c>
      <c r="W45" s="15">
        <f t="shared" si="0"/>
        <v>3.96</v>
      </c>
      <c r="X45" s="16">
        <v>2570</v>
      </c>
      <c r="Y45" s="15" t="s">
        <v>41</v>
      </c>
    </row>
    <row r="46" spans="1:25" x14ac:dyDescent="0.2">
      <c r="A46" s="13">
        <v>43</v>
      </c>
      <c r="B46" s="13" t="s">
        <v>26</v>
      </c>
      <c r="C46" s="13" t="s">
        <v>27</v>
      </c>
      <c r="D46" s="13" t="s">
        <v>28</v>
      </c>
      <c r="E46" s="13" t="s">
        <v>222</v>
      </c>
      <c r="F46" s="14" t="s">
        <v>223</v>
      </c>
      <c r="G46" s="15">
        <v>8</v>
      </c>
      <c r="H46" s="16" t="s">
        <v>44</v>
      </c>
      <c r="I46" s="16">
        <v>2569</v>
      </c>
      <c r="J46" s="17">
        <v>46234</v>
      </c>
      <c r="K46" s="17">
        <v>46357</v>
      </c>
      <c r="L46" s="16" t="s">
        <v>133</v>
      </c>
      <c r="M46" s="16" t="s">
        <v>35</v>
      </c>
      <c r="N46" s="16" t="s">
        <v>36</v>
      </c>
      <c r="O46" s="15">
        <v>832500</v>
      </c>
      <c r="P46" s="15">
        <v>521100</v>
      </c>
      <c r="Q46" s="15" t="s">
        <v>787</v>
      </c>
      <c r="R46" s="30" t="s">
        <v>224</v>
      </c>
      <c r="S46" s="30" t="s">
        <v>225</v>
      </c>
      <c r="T46" s="15" t="s">
        <v>40</v>
      </c>
      <c r="U46" s="15">
        <v>7.6</v>
      </c>
      <c r="V46" s="15">
        <v>1.2</v>
      </c>
      <c r="W46" s="15">
        <f t="shared" si="0"/>
        <v>8.7999999999999989</v>
      </c>
      <c r="X46" s="16">
        <v>2570</v>
      </c>
      <c r="Y46" s="15" t="s">
        <v>59</v>
      </c>
    </row>
    <row r="47" spans="1:25" x14ac:dyDescent="0.2">
      <c r="A47" s="13">
        <v>44</v>
      </c>
      <c r="B47" s="13" t="s">
        <v>26</v>
      </c>
      <c r="C47" s="13" t="s">
        <v>27</v>
      </c>
      <c r="D47" s="13" t="s">
        <v>28</v>
      </c>
      <c r="E47" s="13" t="s">
        <v>226</v>
      </c>
      <c r="F47" s="14" t="s">
        <v>227</v>
      </c>
      <c r="G47" s="15">
        <v>1</v>
      </c>
      <c r="H47" s="16" t="s">
        <v>31</v>
      </c>
      <c r="I47" s="16">
        <v>2570</v>
      </c>
      <c r="J47" s="17">
        <v>46295</v>
      </c>
      <c r="K47" s="17">
        <v>46412</v>
      </c>
      <c r="L47" s="16" t="s">
        <v>133</v>
      </c>
      <c r="M47" s="16" t="s">
        <v>35</v>
      </c>
      <c r="N47" s="16" t="s">
        <v>71</v>
      </c>
      <c r="O47" s="15">
        <v>171000</v>
      </c>
      <c r="P47" s="15">
        <v>115800</v>
      </c>
      <c r="Q47" s="15" t="s">
        <v>787</v>
      </c>
      <c r="R47" s="30" t="s">
        <v>228</v>
      </c>
      <c r="S47" s="30" t="s">
        <v>229</v>
      </c>
      <c r="T47" s="15" t="s">
        <v>53</v>
      </c>
      <c r="U47" s="15">
        <v>0.95</v>
      </c>
      <c r="V47" s="15">
        <v>0.15</v>
      </c>
      <c r="W47" s="15">
        <f t="shared" si="0"/>
        <v>1.0999999999999999</v>
      </c>
      <c r="X47" s="16">
        <v>2570</v>
      </c>
      <c r="Y47" s="15" t="s">
        <v>59</v>
      </c>
    </row>
    <row r="48" spans="1:25" x14ac:dyDescent="0.2">
      <c r="A48" s="13">
        <v>45</v>
      </c>
      <c r="B48" s="13" t="s">
        <v>26</v>
      </c>
      <c r="C48" s="13" t="s">
        <v>27</v>
      </c>
      <c r="D48" s="13" t="s">
        <v>28</v>
      </c>
      <c r="E48" s="13" t="s">
        <v>230</v>
      </c>
      <c r="F48" s="14" t="s">
        <v>231</v>
      </c>
      <c r="G48" s="15">
        <v>8</v>
      </c>
      <c r="H48" s="16" t="s">
        <v>44</v>
      </c>
      <c r="I48" s="16">
        <v>2570</v>
      </c>
      <c r="J48" s="17">
        <v>46295</v>
      </c>
      <c r="K48" s="17">
        <v>46415</v>
      </c>
      <c r="L48" s="16" t="s">
        <v>133</v>
      </c>
      <c r="M48" s="16" t="s">
        <v>35</v>
      </c>
      <c r="N48" s="16" t="s">
        <v>36</v>
      </c>
      <c r="O48" s="15">
        <v>684000</v>
      </c>
      <c r="P48" s="15">
        <v>440040</v>
      </c>
      <c r="Q48" s="15" t="s">
        <v>787</v>
      </c>
      <c r="R48" s="30" t="s">
        <v>232</v>
      </c>
      <c r="S48" s="30" t="s">
        <v>233</v>
      </c>
      <c r="T48" s="15" t="s">
        <v>53</v>
      </c>
      <c r="U48" s="15">
        <v>7.6</v>
      </c>
      <c r="V48" s="15">
        <v>1.2</v>
      </c>
      <c r="W48" s="15">
        <f t="shared" si="0"/>
        <v>8.7999999999999989</v>
      </c>
      <c r="X48" s="16">
        <v>2570</v>
      </c>
      <c r="Y48" s="15" t="s">
        <v>41</v>
      </c>
    </row>
    <row r="49" spans="1:25" x14ac:dyDescent="0.2">
      <c r="A49" s="13">
        <v>46</v>
      </c>
      <c r="B49" s="13" t="s">
        <v>26</v>
      </c>
      <c r="C49" s="13" t="s">
        <v>27</v>
      </c>
      <c r="D49" s="13" t="s">
        <v>28</v>
      </c>
      <c r="E49" s="13" t="s">
        <v>234</v>
      </c>
      <c r="F49" s="14" t="s">
        <v>235</v>
      </c>
      <c r="G49" s="15">
        <v>2</v>
      </c>
      <c r="H49" s="16" t="s">
        <v>31</v>
      </c>
      <c r="I49" s="16">
        <v>2570</v>
      </c>
      <c r="J49" s="17">
        <v>46295</v>
      </c>
      <c r="K49" s="17">
        <v>46419</v>
      </c>
      <c r="L49" s="16" t="s">
        <v>133</v>
      </c>
      <c r="M49" s="16" t="s">
        <v>35</v>
      </c>
      <c r="N49" s="16" t="s">
        <v>71</v>
      </c>
      <c r="O49" s="15">
        <v>465500</v>
      </c>
      <c r="P49" s="15">
        <v>220020</v>
      </c>
      <c r="Q49" s="15" t="s">
        <v>787</v>
      </c>
      <c r="R49" s="30" t="s">
        <v>236</v>
      </c>
      <c r="S49" s="30" t="s">
        <v>237</v>
      </c>
      <c r="T49" s="15" t="s">
        <v>185</v>
      </c>
      <c r="U49" s="15">
        <v>1.9</v>
      </c>
      <c r="V49" s="15">
        <v>0.3</v>
      </c>
      <c r="W49" s="15">
        <f t="shared" si="0"/>
        <v>2.1999999999999997</v>
      </c>
      <c r="X49" s="16">
        <v>2570</v>
      </c>
      <c r="Y49" s="15" t="s">
        <v>66</v>
      </c>
    </row>
    <row r="50" spans="1:25" x14ac:dyDescent="0.2">
      <c r="A50" s="13">
        <v>47</v>
      </c>
      <c r="B50" s="13" t="s">
        <v>26</v>
      </c>
      <c r="C50" s="13" t="s">
        <v>27</v>
      </c>
      <c r="D50" s="13" t="s">
        <v>28</v>
      </c>
      <c r="E50" s="13" t="s">
        <v>238</v>
      </c>
      <c r="F50" s="14" t="s">
        <v>239</v>
      </c>
      <c r="G50" s="15">
        <v>4</v>
      </c>
      <c r="H50" s="16" t="s">
        <v>44</v>
      </c>
      <c r="I50" s="16">
        <v>2570</v>
      </c>
      <c r="J50" s="17">
        <v>46295</v>
      </c>
      <c r="K50" s="17">
        <v>46419</v>
      </c>
      <c r="L50" s="16" t="s">
        <v>133</v>
      </c>
      <c r="M50" s="16" t="s">
        <v>35</v>
      </c>
      <c r="N50" s="16" t="s">
        <v>36</v>
      </c>
      <c r="O50" s="15">
        <v>342000</v>
      </c>
      <c r="P50" s="15">
        <v>220020</v>
      </c>
      <c r="Q50" s="15" t="s">
        <v>787</v>
      </c>
      <c r="R50" s="30" t="s">
        <v>240</v>
      </c>
      <c r="S50" s="30" t="s">
        <v>241</v>
      </c>
      <c r="T50" s="15" t="s">
        <v>53</v>
      </c>
      <c r="U50" s="15">
        <v>3.8</v>
      </c>
      <c r="V50" s="15">
        <v>0.6</v>
      </c>
      <c r="W50" s="15">
        <f t="shared" si="0"/>
        <v>4.3999999999999995</v>
      </c>
      <c r="X50" s="16">
        <v>2570</v>
      </c>
      <c r="Y50" s="15" t="s">
        <v>47</v>
      </c>
    </row>
    <row r="51" spans="1:25" x14ac:dyDescent="0.2">
      <c r="A51" s="13">
        <v>48</v>
      </c>
      <c r="B51" s="13" t="s">
        <v>26</v>
      </c>
      <c r="C51" s="13" t="s">
        <v>27</v>
      </c>
      <c r="D51" s="13" t="s">
        <v>28</v>
      </c>
      <c r="E51" s="13" t="s">
        <v>242</v>
      </c>
      <c r="F51" s="14" t="s">
        <v>243</v>
      </c>
      <c r="G51" s="15">
        <v>3</v>
      </c>
      <c r="H51" s="16" t="s">
        <v>44</v>
      </c>
      <c r="I51" s="16">
        <v>2570</v>
      </c>
      <c r="J51" s="17">
        <v>46295</v>
      </c>
      <c r="K51" s="17">
        <v>46419</v>
      </c>
      <c r="L51" s="16" t="s">
        <v>133</v>
      </c>
      <c r="M51" s="16" t="s">
        <v>35</v>
      </c>
      <c r="N51" s="16" t="s">
        <v>36</v>
      </c>
      <c r="O51" s="15">
        <v>256499.99999999997</v>
      </c>
      <c r="P51" s="15">
        <v>167910</v>
      </c>
      <c r="Q51" s="15" t="s">
        <v>787</v>
      </c>
      <c r="R51" s="30" t="s">
        <v>244</v>
      </c>
      <c r="S51" s="30" t="s">
        <v>245</v>
      </c>
      <c r="T51" s="15" t="s">
        <v>53</v>
      </c>
      <c r="U51" s="15">
        <v>2.8499999999999996</v>
      </c>
      <c r="V51" s="15">
        <v>0.44999999999999996</v>
      </c>
      <c r="W51" s="15">
        <f t="shared" si="0"/>
        <v>3.3</v>
      </c>
      <c r="X51" s="16">
        <v>2570</v>
      </c>
      <c r="Y51" s="15" t="s">
        <v>66</v>
      </c>
    </row>
    <row r="52" spans="1:25" x14ac:dyDescent="0.2">
      <c r="A52" s="13">
        <v>49</v>
      </c>
      <c r="B52" s="13" t="s">
        <v>26</v>
      </c>
      <c r="C52" s="13" t="s">
        <v>27</v>
      </c>
      <c r="D52" s="13" t="s">
        <v>28</v>
      </c>
      <c r="E52" s="13" t="s">
        <v>246</v>
      </c>
      <c r="F52" s="14" t="s">
        <v>247</v>
      </c>
      <c r="G52" s="15">
        <v>7.6</v>
      </c>
      <c r="H52" s="16" t="s">
        <v>31</v>
      </c>
      <c r="I52" s="16">
        <v>2570</v>
      </c>
      <c r="J52" s="17">
        <v>46295</v>
      </c>
      <c r="K52" s="17">
        <v>46423</v>
      </c>
      <c r="L52" s="16" t="s">
        <v>133</v>
      </c>
      <c r="M52" s="16" t="s">
        <v>134</v>
      </c>
      <c r="N52" s="16" t="s">
        <v>36</v>
      </c>
      <c r="O52" s="15">
        <v>649800</v>
      </c>
      <c r="P52" s="15">
        <v>422670</v>
      </c>
      <c r="Q52" s="15" t="s">
        <v>787</v>
      </c>
      <c r="R52" s="30" t="s">
        <v>248</v>
      </c>
      <c r="S52" s="30" t="s">
        <v>249</v>
      </c>
      <c r="T52" s="15" t="s">
        <v>53</v>
      </c>
      <c r="U52" s="15">
        <v>7.22</v>
      </c>
      <c r="V52" s="15">
        <v>1.1399999999999999</v>
      </c>
      <c r="W52" s="15">
        <f t="shared" si="0"/>
        <v>8.36</v>
      </c>
      <c r="X52" s="16">
        <v>2570</v>
      </c>
      <c r="Y52" s="15" t="s">
        <v>59</v>
      </c>
    </row>
    <row r="53" spans="1:25" x14ac:dyDescent="0.2">
      <c r="A53" s="13">
        <v>50</v>
      </c>
      <c r="B53" s="13" t="s">
        <v>26</v>
      </c>
      <c r="C53" s="13" t="s">
        <v>27</v>
      </c>
      <c r="D53" s="13" t="s">
        <v>28</v>
      </c>
      <c r="E53" s="13" t="s">
        <v>250</v>
      </c>
      <c r="F53" s="14" t="s">
        <v>251</v>
      </c>
      <c r="G53" s="15">
        <v>5.6</v>
      </c>
      <c r="H53" s="16" t="s">
        <v>56</v>
      </c>
      <c r="I53" s="16">
        <v>2570</v>
      </c>
      <c r="J53" s="17">
        <v>46295</v>
      </c>
      <c r="K53" s="17">
        <v>46426</v>
      </c>
      <c r="L53" s="16" t="s">
        <v>133</v>
      </c>
      <c r="M53" s="16" t="s">
        <v>35</v>
      </c>
      <c r="N53" s="16" t="s">
        <v>71</v>
      </c>
      <c r="O53" s="15">
        <v>1303399.9999999998</v>
      </c>
      <c r="P53" s="15">
        <v>625319.99999999988</v>
      </c>
      <c r="Q53" s="15" t="s">
        <v>787</v>
      </c>
      <c r="R53" s="30" t="s">
        <v>229</v>
      </c>
      <c r="S53" s="30" t="s">
        <v>252</v>
      </c>
      <c r="T53" s="15" t="s">
        <v>185</v>
      </c>
      <c r="U53" s="15">
        <v>5.3199999999999994</v>
      </c>
      <c r="V53" s="15">
        <v>0.84</v>
      </c>
      <c r="W53" s="15">
        <f t="shared" si="0"/>
        <v>6.1599999999999993</v>
      </c>
      <c r="X53" s="16">
        <v>2570</v>
      </c>
      <c r="Y53" s="15" t="s">
        <v>41</v>
      </c>
    </row>
    <row r="54" spans="1:25" x14ac:dyDescent="0.2">
      <c r="A54" s="13">
        <v>51</v>
      </c>
      <c r="B54" s="13" t="s">
        <v>26</v>
      </c>
      <c r="C54" s="13" t="s">
        <v>253</v>
      </c>
      <c r="D54" s="13" t="s">
        <v>28</v>
      </c>
      <c r="E54" s="13" t="s">
        <v>254</v>
      </c>
      <c r="F54" s="14" t="s">
        <v>255</v>
      </c>
      <c r="G54" s="15">
        <v>10.4</v>
      </c>
      <c r="H54" s="16" t="s">
        <v>56</v>
      </c>
      <c r="I54" s="16">
        <v>2570</v>
      </c>
      <c r="J54" s="17">
        <v>46326</v>
      </c>
      <c r="K54" s="17">
        <v>46446</v>
      </c>
      <c r="L54" s="16" t="s">
        <v>133</v>
      </c>
      <c r="M54" s="16" t="s">
        <v>35</v>
      </c>
      <c r="N54" s="16" t="s">
        <v>36</v>
      </c>
      <c r="O54" s="15">
        <v>1062100</v>
      </c>
      <c r="P54" s="15">
        <v>573210</v>
      </c>
      <c r="Q54" s="15" t="s">
        <v>787</v>
      </c>
      <c r="R54" s="30" t="s">
        <v>256</v>
      </c>
      <c r="S54" s="30" t="s">
        <v>257</v>
      </c>
      <c r="T54" s="15" t="s">
        <v>40</v>
      </c>
      <c r="U54" s="15">
        <v>9.879999999999999</v>
      </c>
      <c r="V54" s="15">
        <v>1.56</v>
      </c>
      <c r="W54" s="15">
        <f t="shared" si="0"/>
        <v>11.44</v>
      </c>
      <c r="X54" s="16">
        <v>2570</v>
      </c>
      <c r="Y54" s="15" t="s">
        <v>47</v>
      </c>
    </row>
    <row r="55" spans="1:25" x14ac:dyDescent="0.2">
      <c r="A55" s="13">
        <v>52</v>
      </c>
      <c r="B55" s="13" t="s">
        <v>26</v>
      </c>
      <c r="C55" s="13" t="s">
        <v>213</v>
      </c>
      <c r="D55" s="13" t="s">
        <v>28</v>
      </c>
      <c r="E55" s="13" t="s">
        <v>258</v>
      </c>
      <c r="F55" s="14" t="s">
        <v>259</v>
      </c>
      <c r="G55" s="15">
        <v>8.8000000000000007</v>
      </c>
      <c r="H55" s="16" t="s">
        <v>118</v>
      </c>
      <c r="I55" s="16">
        <v>2570</v>
      </c>
      <c r="J55" s="17">
        <v>46295</v>
      </c>
      <c r="K55" s="17">
        <v>46446</v>
      </c>
      <c r="L55" s="16" t="s">
        <v>133</v>
      </c>
      <c r="M55" s="16" t="s">
        <v>35</v>
      </c>
      <c r="N55" s="16" t="s">
        <v>36</v>
      </c>
      <c r="O55" s="15">
        <v>752400</v>
      </c>
      <c r="P55" s="15">
        <v>486360</v>
      </c>
      <c r="Q55" s="15" t="s">
        <v>787</v>
      </c>
      <c r="R55" s="30" t="s">
        <v>260</v>
      </c>
      <c r="S55" s="30" t="s">
        <v>261</v>
      </c>
      <c r="T55" s="15" t="s">
        <v>53</v>
      </c>
      <c r="U55" s="15">
        <v>8.36</v>
      </c>
      <c r="V55" s="15">
        <v>1.32</v>
      </c>
      <c r="W55" s="15">
        <f t="shared" si="0"/>
        <v>9.68</v>
      </c>
      <c r="X55" s="16">
        <v>2570</v>
      </c>
      <c r="Y55" s="15" t="s">
        <v>47</v>
      </c>
    </row>
    <row r="56" spans="1:25" x14ac:dyDescent="0.2">
      <c r="A56" s="13">
        <v>53</v>
      </c>
      <c r="B56" s="13" t="s">
        <v>26</v>
      </c>
      <c r="C56" s="13" t="s">
        <v>27</v>
      </c>
      <c r="D56" s="13" t="s">
        <v>28</v>
      </c>
      <c r="E56" s="13" t="s">
        <v>262</v>
      </c>
      <c r="F56" s="14" t="s">
        <v>263</v>
      </c>
      <c r="G56" s="15">
        <v>10</v>
      </c>
      <c r="H56" s="16" t="s">
        <v>118</v>
      </c>
      <c r="I56" s="16">
        <v>2570</v>
      </c>
      <c r="J56" s="17">
        <v>46326</v>
      </c>
      <c r="K56" s="17">
        <v>46447</v>
      </c>
      <c r="L56" s="16" t="s">
        <v>133</v>
      </c>
      <c r="M56" s="16" t="s">
        <v>35</v>
      </c>
      <c r="N56" s="16" t="s">
        <v>36</v>
      </c>
      <c r="O56" s="15">
        <v>1021250</v>
      </c>
      <c r="P56" s="15">
        <v>550050</v>
      </c>
      <c r="Q56" s="15" t="s">
        <v>787</v>
      </c>
      <c r="R56" s="30" t="s">
        <v>264</v>
      </c>
      <c r="S56" s="30" t="s">
        <v>265</v>
      </c>
      <c r="T56" s="15" t="s">
        <v>40</v>
      </c>
      <c r="U56" s="15">
        <v>9.5</v>
      </c>
      <c r="V56" s="15">
        <v>1.5</v>
      </c>
      <c r="W56" s="15">
        <f t="shared" si="0"/>
        <v>11</v>
      </c>
      <c r="X56" s="16">
        <v>2570</v>
      </c>
      <c r="Y56" s="15" t="s">
        <v>59</v>
      </c>
    </row>
    <row r="57" spans="1:25" x14ac:dyDescent="0.2">
      <c r="A57" s="13">
        <v>54</v>
      </c>
      <c r="B57" s="13" t="s">
        <v>26</v>
      </c>
      <c r="C57" s="13" t="s">
        <v>266</v>
      </c>
      <c r="D57" s="13" t="s">
        <v>28</v>
      </c>
      <c r="E57" s="13" t="s">
        <v>267</v>
      </c>
      <c r="F57" s="14" t="s">
        <v>268</v>
      </c>
      <c r="G57" s="15">
        <v>4</v>
      </c>
      <c r="H57" s="16" t="s">
        <v>56</v>
      </c>
      <c r="I57" s="16">
        <v>2570</v>
      </c>
      <c r="J57" s="17">
        <v>46295</v>
      </c>
      <c r="K57" s="17">
        <v>46447</v>
      </c>
      <c r="L57" s="16" t="s">
        <v>133</v>
      </c>
      <c r="M57" s="16" t="s">
        <v>35</v>
      </c>
      <c r="N57" s="16" t="s">
        <v>71</v>
      </c>
      <c r="O57" s="15">
        <v>931000</v>
      </c>
      <c r="P57" s="15">
        <v>440040</v>
      </c>
      <c r="Q57" s="15" t="s">
        <v>787</v>
      </c>
      <c r="R57" s="30" t="s">
        <v>269</v>
      </c>
      <c r="S57" s="30" t="s">
        <v>270</v>
      </c>
      <c r="T57" s="15" t="s">
        <v>185</v>
      </c>
      <c r="U57" s="15">
        <v>3.8</v>
      </c>
      <c r="V57" s="15">
        <v>0.6</v>
      </c>
      <c r="W57" s="15">
        <f t="shared" si="0"/>
        <v>4.3999999999999995</v>
      </c>
      <c r="X57" s="16">
        <v>2570</v>
      </c>
      <c r="Y57" s="15" t="s">
        <v>41</v>
      </c>
    </row>
    <row r="58" spans="1:25" x14ac:dyDescent="0.2">
      <c r="A58" s="13">
        <v>55</v>
      </c>
      <c r="B58" s="13" t="s">
        <v>26</v>
      </c>
      <c r="C58" s="13" t="s">
        <v>27</v>
      </c>
      <c r="D58" s="13" t="s">
        <v>28</v>
      </c>
      <c r="E58" s="13" t="s">
        <v>271</v>
      </c>
      <c r="F58" s="14" t="s">
        <v>272</v>
      </c>
      <c r="G58" s="15">
        <v>11.6</v>
      </c>
      <c r="H58" s="16" t="s">
        <v>56</v>
      </c>
      <c r="I58" s="16">
        <v>2570</v>
      </c>
      <c r="J58" s="17">
        <v>46295</v>
      </c>
      <c r="K58" s="17">
        <v>46454</v>
      </c>
      <c r="L58" s="16" t="s">
        <v>133</v>
      </c>
      <c r="M58" s="16" t="s">
        <v>35</v>
      </c>
      <c r="N58" s="16" t="s">
        <v>36</v>
      </c>
      <c r="O58" s="15">
        <v>1184650</v>
      </c>
      <c r="P58" s="15">
        <v>642690</v>
      </c>
      <c r="Q58" s="15" t="s">
        <v>787</v>
      </c>
      <c r="R58" s="30" t="s">
        <v>208</v>
      </c>
      <c r="S58" s="30" t="s">
        <v>273</v>
      </c>
      <c r="T58" s="15" t="s">
        <v>40</v>
      </c>
      <c r="U58" s="15">
        <v>11.02</v>
      </c>
      <c r="V58" s="15">
        <v>1.74</v>
      </c>
      <c r="W58" s="15">
        <f t="shared" si="0"/>
        <v>12.76</v>
      </c>
      <c r="X58" s="16">
        <v>2570</v>
      </c>
      <c r="Y58" s="15" t="s">
        <v>59</v>
      </c>
    </row>
    <row r="59" spans="1:25" x14ac:dyDescent="0.2">
      <c r="A59" s="13">
        <v>56</v>
      </c>
      <c r="B59" s="13" t="s">
        <v>26</v>
      </c>
      <c r="C59" s="13" t="s">
        <v>27</v>
      </c>
      <c r="D59" s="13" t="s">
        <v>28</v>
      </c>
      <c r="E59" s="13" t="s">
        <v>274</v>
      </c>
      <c r="F59" s="14" t="s">
        <v>275</v>
      </c>
      <c r="G59" s="15">
        <v>9</v>
      </c>
      <c r="H59" s="16" t="s">
        <v>56</v>
      </c>
      <c r="I59" s="16">
        <v>2570</v>
      </c>
      <c r="J59" s="17">
        <v>46295</v>
      </c>
      <c r="K59" s="17">
        <v>46455</v>
      </c>
      <c r="L59" s="16" t="s">
        <v>133</v>
      </c>
      <c r="M59" s="16" t="s">
        <v>35</v>
      </c>
      <c r="N59" s="16" t="s">
        <v>36</v>
      </c>
      <c r="O59" s="15">
        <v>769499.99999999988</v>
      </c>
      <c r="P59" s="15">
        <v>497940</v>
      </c>
      <c r="Q59" s="15" t="s">
        <v>787</v>
      </c>
      <c r="R59" s="30" t="s">
        <v>276</v>
      </c>
      <c r="S59" s="30" t="s">
        <v>277</v>
      </c>
      <c r="T59" s="15" t="s">
        <v>53</v>
      </c>
      <c r="U59" s="15">
        <v>8.5499999999999989</v>
      </c>
      <c r="V59" s="15">
        <v>1.3499999999999999</v>
      </c>
      <c r="W59" s="15">
        <f t="shared" si="0"/>
        <v>9.8999999999999986</v>
      </c>
      <c r="X59" s="16">
        <v>2570</v>
      </c>
      <c r="Y59" s="15" t="s">
        <v>59</v>
      </c>
    </row>
    <row r="60" spans="1:25" x14ac:dyDescent="0.2">
      <c r="A60" s="13">
        <v>57</v>
      </c>
      <c r="B60" s="13" t="s">
        <v>26</v>
      </c>
      <c r="C60" s="13" t="s">
        <v>27</v>
      </c>
      <c r="D60" s="13" t="s">
        <v>28</v>
      </c>
      <c r="E60" s="13" t="s">
        <v>278</v>
      </c>
      <c r="F60" s="14" t="s">
        <v>279</v>
      </c>
      <c r="G60" s="15">
        <v>9.8000000000000007</v>
      </c>
      <c r="H60" s="16" t="s">
        <v>118</v>
      </c>
      <c r="I60" s="16">
        <v>2570</v>
      </c>
      <c r="J60" s="17">
        <v>46325</v>
      </c>
      <c r="K60" s="17">
        <v>46461</v>
      </c>
      <c r="L60" s="16" t="s">
        <v>133</v>
      </c>
      <c r="M60" s="16" t="s">
        <v>35</v>
      </c>
      <c r="N60" s="16" t="s">
        <v>36</v>
      </c>
      <c r="O60" s="15">
        <v>1000825</v>
      </c>
      <c r="P60" s="15">
        <v>544260</v>
      </c>
      <c r="Q60" s="15" t="s">
        <v>787</v>
      </c>
      <c r="R60" s="30" t="s">
        <v>280</v>
      </c>
      <c r="S60" s="30" t="s">
        <v>281</v>
      </c>
      <c r="T60" s="15" t="s">
        <v>40</v>
      </c>
      <c r="U60" s="15">
        <v>9.31</v>
      </c>
      <c r="V60" s="15">
        <v>1.47</v>
      </c>
      <c r="W60" s="15">
        <f t="shared" si="0"/>
        <v>10.780000000000001</v>
      </c>
      <c r="X60" s="16">
        <v>2570</v>
      </c>
      <c r="Y60" s="15" t="s">
        <v>41</v>
      </c>
    </row>
    <row r="61" spans="1:25" x14ac:dyDescent="0.2">
      <c r="A61" s="13">
        <v>58</v>
      </c>
      <c r="B61" s="13" t="s">
        <v>26</v>
      </c>
      <c r="C61" s="13" t="s">
        <v>27</v>
      </c>
      <c r="D61" s="13" t="s">
        <v>28</v>
      </c>
      <c r="E61" s="13" t="s">
        <v>282</v>
      </c>
      <c r="F61" s="14" t="s">
        <v>283</v>
      </c>
      <c r="G61" s="15">
        <v>12</v>
      </c>
      <c r="H61" s="16" t="s">
        <v>118</v>
      </c>
      <c r="I61" s="16">
        <v>2570</v>
      </c>
      <c r="J61" s="17">
        <v>46326</v>
      </c>
      <c r="K61" s="17">
        <v>46470</v>
      </c>
      <c r="L61" s="16" t="s">
        <v>133</v>
      </c>
      <c r="M61" s="16" t="s">
        <v>35</v>
      </c>
      <c r="N61" s="16" t="s">
        <v>36</v>
      </c>
      <c r="O61" s="15">
        <v>1225499.9999999998</v>
      </c>
      <c r="P61" s="15">
        <v>660060</v>
      </c>
      <c r="Q61" s="15" t="s">
        <v>787</v>
      </c>
      <c r="R61" s="30" t="s">
        <v>284</v>
      </c>
      <c r="S61" s="30" t="s">
        <v>285</v>
      </c>
      <c r="T61" s="15" t="s">
        <v>40</v>
      </c>
      <c r="U61" s="15">
        <v>11.399999999999999</v>
      </c>
      <c r="V61" s="15">
        <v>1.7999999999999998</v>
      </c>
      <c r="W61" s="15">
        <f t="shared" si="0"/>
        <v>13.2</v>
      </c>
      <c r="X61" s="16">
        <v>2570</v>
      </c>
      <c r="Y61" s="15" t="s">
        <v>47</v>
      </c>
    </row>
    <row r="62" spans="1:25" x14ac:dyDescent="0.2">
      <c r="A62" s="13">
        <v>59</v>
      </c>
      <c r="B62" s="13" t="s">
        <v>26</v>
      </c>
      <c r="C62" s="13" t="s">
        <v>122</v>
      </c>
      <c r="D62" s="13" t="s">
        <v>28</v>
      </c>
      <c r="E62" s="13" t="s">
        <v>286</v>
      </c>
      <c r="F62" s="14" t="s">
        <v>287</v>
      </c>
      <c r="G62" s="15">
        <v>11.4</v>
      </c>
      <c r="H62" s="16" t="s">
        <v>56</v>
      </c>
      <c r="I62" s="16">
        <v>2570</v>
      </c>
      <c r="J62" s="17">
        <v>46326</v>
      </c>
      <c r="K62" s="17">
        <v>46477</v>
      </c>
      <c r="L62" s="16" t="s">
        <v>133</v>
      </c>
      <c r="M62" s="16" t="s">
        <v>35</v>
      </c>
      <c r="N62" s="16" t="s">
        <v>36</v>
      </c>
      <c r="O62" s="15">
        <v>1164225</v>
      </c>
      <c r="P62" s="15">
        <v>631110</v>
      </c>
      <c r="Q62" s="15" t="s">
        <v>787</v>
      </c>
      <c r="R62" s="30" t="s">
        <v>288</v>
      </c>
      <c r="S62" s="30" t="s">
        <v>289</v>
      </c>
      <c r="T62" s="15" t="s">
        <v>40</v>
      </c>
      <c r="U62" s="15">
        <v>10.83</v>
      </c>
      <c r="V62" s="15">
        <v>1.71</v>
      </c>
      <c r="W62" s="15">
        <f t="shared" si="0"/>
        <v>12.54</v>
      </c>
      <c r="X62" s="16">
        <v>2570</v>
      </c>
      <c r="Y62" s="15" t="s">
        <v>59</v>
      </c>
    </row>
    <row r="63" spans="1:25" x14ac:dyDescent="0.2">
      <c r="A63" s="13">
        <v>60</v>
      </c>
      <c r="B63" s="13" t="s">
        <v>26</v>
      </c>
      <c r="C63" s="13" t="s">
        <v>27</v>
      </c>
      <c r="D63" s="13" t="s">
        <v>28</v>
      </c>
      <c r="E63" s="13" t="s">
        <v>290</v>
      </c>
      <c r="F63" s="14" t="s">
        <v>291</v>
      </c>
      <c r="G63" s="15">
        <v>2.2000000000000002</v>
      </c>
      <c r="H63" s="16" t="s">
        <v>31</v>
      </c>
      <c r="I63" s="16">
        <v>2570</v>
      </c>
      <c r="J63" s="17">
        <v>46387</v>
      </c>
      <c r="K63" s="17">
        <v>46494</v>
      </c>
      <c r="L63" s="16" t="s">
        <v>133</v>
      </c>
      <c r="M63" s="16" t="s">
        <v>35</v>
      </c>
      <c r="N63" s="16" t="s">
        <v>36</v>
      </c>
      <c r="O63" s="15">
        <v>224674.99999999997</v>
      </c>
      <c r="P63" s="15">
        <v>121590</v>
      </c>
      <c r="Q63" s="15" t="s">
        <v>787</v>
      </c>
      <c r="R63" s="30" t="s">
        <v>292</v>
      </c>
      <c r="S63" s="30" t="s">
        <v>293</v>
      </c>
      <c r="T63" s="15" t="s">
        <v>40</v>
      </c>
      <c r="U63" s="15">
        <v>2.09</v>
      </c>
      <c r="V63" s="15">
        <v>0.33</v>
      </c>
      <c r="W63" s="15">
        <f t="shared" si="0"/>
        <v>2.42</v>
      </c>
      <c r="X63" s="16">
        <v>2570</v>
      </c>
      <c r="Y63" s="15" t="s">
        <v>59</v>
      </c>
    </row>
    <row r="64" spans="1:25" x14ac:dyDescent="0.2">
      <c r="A64" s="13">
        <v>61</v>
      </c>
      <c r="B64" s="13" t="s">
        <v>26</v>
      </c>
      <c r="C64" s="13" t="s">
        <v>27</v>
      </c>
      <c r="D64" s="13" t="s">
        <v>48</v>
      </c>
      <c r="E64" s="13" t="s">
        <v>294</v>
      </c>
      <c r="F64" s="14" t="s">
        <v>295</v>
      </c>
      <c r="G64" s="15">
        <v>11.8</v>
      </c>
      <c r="H64" s="16" t="s">
        <v>56</v>
      </c>
      <c r="I64" s="16">
        <v>2570</v>
      </c>
      <c r="J64" s="17">
        <v>46387</v>
      </c>
      <c r="K64" s="17">
        <v>46497</v>
      </c>
      <c r="L64" s="16" t="s">
        <v>133</v>
      </c>
      <c r="M64" s="16" t="s">
        <v>35</v>
      </c>
      <c r="N64" s="16" t="s">
        <v>36</v>
      </c>
      <c r="O64" s="15">
        <v>1205075</v>
      </c>
      <c r="P64" s="15">
        <v>654269.99999999988</v>
      </c>
      <c r="Q64" s="15" t="s">
        <v>787</v>
      </c>
      <c r="R64" s="30" t="s">
        <v>296</v>
      </c>
      <c r="S64" s="30" t="s">
        <v>297</v>
      </c>
      <c r="T64" s="15" t="s">
        <v>40</v>
      </c>
      <c r="U64" s="15">
        <v>11.21</v>
      </c>
      <c r="V64" s="15">
        <v>1.77</v>
      </c>
      <c r="W64" s="15">
        <f t="shared" si="0"/>
        <v>12.98</v>
      </c>
      <c r="X64" s="16">
        <v>2570</v>
      </c>
      <c r="Y64" s="15" t="s">
        <v>41</v>
      </c>
    </row>
    <row r="65" spans="1:25" x14ac:dyDescent="0.2">
      <c r="A65" s="13">
        <v>62</v>
      </c>
      <c r="B65" s="13" t="s">
        <v>26</v>
      </c>
      <c r="C65" s="13" t="s">
        <v>122</v>
      </c>
      <c r="D65" s="13" t="s">
        <v>28</v>
      </c>
      <c r="E65" s="13" t="s">
        <v>298</v>
      </c>
      <c r="F65" s="14" t="s">
        <v>299</v>
      </c>
      <c r="G65" s="15">
        <v>9.6</v>
      </c>
      <c r="H65" s="16" t="s">
        <v>56</v>
      </c>
      <c r="I65" s="16">
        <v>2570</v>
      </c>
      <c r="J65" s="17">
        <v>46326</v>
      </c>
      <c r="K65" s="17">
        <v>46507</v>
      </c>
      <c r="L65" s="16" t="s">
        <v>133</v>
      </c>
      <c r="M65" s="16" t="s">
        <v>35</v>
      </c>
      <c r="N65" s="16" t="s">
        <v>71</v>
      </c>
      <c r="O65" s="15">
        <v>1960799.9999999998</v>
      </c>
      <c r="P65" s="15">
        <v>1065360</v>
      </c>
      <c r="Q65" s="15" t="s">
        <v>787</v>
      </c>
      <c r="R65" s="30" t="s">
        <v>300</v>
      </c>
      <c r="S65" s="30" t="s">
        <v>301</v>
      </c>
      <c r="T65" s="15" t="s">
        <v>40</v>
      </c>
      <c r="U65" s="15">
        <v>9.1199999999999992</v>
      </c>
      <c r="V65" s="15">
        <v>1.44</v>
      </c>
      <c r="W65" s="15">
        <f t="shared" si="0"/>
        <v>10.559999999999999</v>
      </c>
      <c r="X65" s="16">
        <v>2570</v>
      </c>
      <c r="Y65" s="15" t="s">
        <v>47</v>
      </c>
    </row>
    <row r="66" spans="1:25" x14ac:dyDescent="0.2">
      <c r="A66" s="13">
        <v>63</v>
      </c>
      <c r="B66" s="13" t="s">
        <v>26</v>
      </c>
      <c r="C66" s="13" t="s">
        <v>27</v>
      </c>
      <c r="D66" s="13" t="s">
        <v>28</v>
      </c>
      <c r="E66" s="13" t="s">
        <v>302</v>
      </c>
      <c r="F66" s="14" t="s">
        <v>303</v>
      </c>
      <c r="G66" s="15">
        <v>4</v>
      </c>
      <c r="H66" s="16" t="s">
        <v>44</v>
      </c>
      <c r="I66" s="16">
        <v>2570</v>
      </c>
      <c r="J66" s="17">
        <v>46326</v>
      </c>
      <c r="K66" s="17">
        <v>46507</v>
      </c>
      <c r="L66" s="16" t="s">
        <v>133</v>
      </c>
      <c r="M66" s="16" t="s">
        <v>35</v>
      </c>
      <c r="N66" s="16" t="s">
        <v>36</v>
      </c>
      <c r="O66" s="15">
        <v>342000</v>
      </c>
      <c r="P66" s="15">
        <v>220020</v>
      </c>
      <c r="Q66" s="15" t="s">
        <v>787</v>
      </c>
      <c r="R66" s="30" t="s">
        <v>304</v>
      </c>
      <c r="S66" s="30" t="s">
        <v>305</v>
      </c>
      <c r="T66" s="15" t="s">
        <v>53</v>
      </c>
      <c r="U66" s="15">
        <v>3.8</v>
      </c>
      <c r="V66" s="15">
        <v>0.6</v>
      </c>
      <c r="W66" s="15">
        <f t="shared" si="0"/>
        <v>4.3999999999999995</v>
      </c>
      <c r="X66" s="16">
        <v>2570</v>
      </c>
      <c r="Y66" s="15" t="s">
        <v>47</v>
      </c>
    </row>
    <row r="67" spans="1:25" x14ac:dyDescent="0.2">
      <c r="A67" s="13">
        <v>64</v>
      </c>
      <c r="B67" s="13" t="s">
        <v>26</v>
      </c>
      <c r="C67" s="13" t="s">
        <v>27</v>
      </c>
      <c r="D67" s="13" t="s">
        <v>28</v>
      </c>
      <c r="E67" s="13" t="s">
        <v>306</v>
      </c>
      <c r="F67" s="14" t="s">
        <v>307</v>
      </c>
      <c r="G67" s="15">
        <v>7</v>
      </c>
      <c r="H67" s="16" t="s">
        <v>44</v>
      </c>
      <c r="I67" s="16">
        <v>2570</v>
      </c>
      <c r="J67" s="17">
        <v>46326</v>
      </c>
      <c r="K67" s="17">
        <v>46507</v>
      </c>
      <c r="L67" s="16" t="s">
        <v>133</v>
      </c>
      <c r="M67" s="16" t="s">
        <v>35</v>
      </c>
      <c r="N67" s="16" t="s">
        <v>36</v>
      </c>
      <c r="O67" s="15">
        <v>598500</v>
      </c>
      <c r="P67" s="15">
        <v>387929.99999999994</v>
      </c>
      <c r="Q67" s="15" t="s">
        <v>787</v>
      </c>
      <c r="R67" s="30" t="s">
        <v>308</v>
      </c>
      <c r="S67" s="30" t="s">
        <v>304</v>
      </c>
      <c r="T67" s="15" t="s">
        <v>53</v>
      </c>
      <c r="U67" s="15">
        <v>6.6499999999999995</v>
      </c>
      <c r="V67" s="15">
        <v>1.05</v>
      </c>
      <c r="W67" s="15">
        <f t="shared" si="0"/>
        <v>7.6999999999999993</v>
      </c>
      <c r="X67" s="16">
        <v>2570</v>
      </c>
      <c r="Y67" s="15" t="s">
        <v>47</v>
      </c>
    </row>
    <row r="68" spans="1:25" x14ac:dyDescent="0.2">
      <c r="A68" s="13">
        <v>65</v>
      </c>
      <c r="B68" s="13" t="s">
        <v>26</v>
      </c>
      <c r="C68" s="13" t="s">
        <v>27</v>
      </c>
      <c r="D68" s="13" t="s">
        <v>28</v>
      </c>
      <c r="E68" s="13" t="s">
        <v>309</v>
      </c>
      <c r="F68" s="14" t="s">
        <v>310</v>
      </c>
      <c r="G68" s="15">
        <v>6.6</v>
      </c>
      <c r="H68" s="16" t="s">
        <v>44</v>
      </c>
      <c r="I68" s="16">
        <v>2570</v>
      </c>
      <c r="J68" s="17">
        <v>46387</v>
      </c>
      <c r="K68" s="17">
        <v>46512</v>
      </c>
      <c r="L68" s="16" t="s">
        <v>133</v>
      </c>
      <c r="M68" s="16" t="s">
        <v>35</v>
      </c>
      <c r="N68" s="16" t="s">
        <v>71</v>
      </c>
      <c r="O68" s="15">
        <v>1128600</v>
      </c>
      <c r="P68" s="15">
        <v>729540</v>
      </c>
      <c r="Q68" s="15" t="s">
        <v>787</v>
      </c>
      <c r="R68" s="30" t="s">
        <v>241</v>
      </c>
      <c r="S68" s="30" t="s">
        <v>311</v>
      </c>
      <c r="T68" s="15" t="s">
        <v>53</v>
      </c>
      <c r="U68" s="15">
        <v>6.27</v>
      </c>
      <c r="V68" s="15">
        <v>0.98999999999999988</v>
      </c>
      <c r="W68" s="15">
        <f t="shared" si="0"/>
        <v>7.26</v>
      </c>
      <c r="X68" s="16">
        <v>2570</v>
      </c>
      <c r="Y68" s="15" t="s">
        <v>47</v>
      </c>
    </row>
    <row r="69" spans="1:25" x14ac:dyDescent="0.2">
      <c r="A69" s="13">
        <v>66</v>
      </c>
      <c r="B69" s="13" t="s">
        <v>26</v>
      </c>
      <c r="C69" s="13" t="s">
        <v>27</v>
      </c>
      <c r="D69" s="13" t="s">
        <v>28</v>
      </c>
      <c r="E69" s="13" t="s">
        <v>312</v>
      </c>
      <c r="F69" s="14" t="s">
        <v>313</v>
      </c>
      <c r="G69" s="15">
        <v>10</v>
      </c>
      <c r="H69" s="16" t="s">
        <v>44</v>
      </c>
      <c r="I69" s="16">
        <v>2570</v>
      </c>
      <c r="J69" s="17">
        <v>46387</v>
      </c>
      <c r="K69" s="17">
        <v>46524</v>
      </c>
      <c r="L69" s="16" t="s">
        <v>133</v>
      </c>
      <c r="M69" s="16" t="s">
        <v>35</v>
      </c>
      <c r="N69" s="16" t="s">
        <v>36</v>
      </c>
      <c r="O69" s="15">
        <v>855000</v>
      </c>
      <c r="P69" s="15">
        <v>550050</v>
      </c>
      <c r="Q69" s="15" t="s">
        <v>787</v>
      </c>
      <c r="R69" s="30" t="s">
        <v>314</v>
      </c>
      <c r="S69" s="30" t="s">
        <v>315</v>
      </c>
      <c r="T69" s="15" t="s">
        <v>53</v>
      </c>
      <c r="U69" s="15">
        <v>9.5</v>
      </c>
      <c r="V69" s="15">
        <v>1.5</v>
      </c>
      <c r="W69" s="15">
        <f t="shared" ref="W69:W132" si="1">U69+V69</f>
        <v>11</v>
      </c>
      <c r="X69" s="16">
        <v>2570</v>
      </c>
      <c r="Y69" s="15" t="s">
        <v>41</v>
      </c>
    </row>
    <row r="70" spans="1:25" x14ac:dyDescent="0.2">
      <c r="A70" s="13">
        <v>67</v>
      </c>
      <c r="B70" s="13" t="s">
        <v>26</v>
      </c>
      <c r="C70" s="13" t="s">
        <v>27</v>
      </c>
      <c r="D70" s="13" t="s">
        <v>28</v>
      </c>
      <c r="E70" s="13" t="s">
        <v>316</v>
      </c>
      <c r="F70" s="14" t="s">
        <v>317</v>
      </c>
      <c r="G70" s="15">
        <v>5.4</v>
      </c>
      <c r="H70" s="16" t="s">
        <v>118</v>
      </c>
      <c r="I70" s="16">
        <v>2570</v>
      </c>
      <c r="J70" s="17">
        <v>46387</v>
      </c>
      <c r="K70" s="17">
        <v>46525</v>
      </c>
      <c r="L70" s="16" t="s">
        <v>133</v>
      </c>
      <c r="M70" s="16" t="s">
        <v>35</v>
      </c>
      <c r="N70" s="16" t="s">
        <v>71</v>
      </c>
      <c r="O70" s="15">
        <v>1102950</v>
      </c>
      <c r="P70" s="15">
        <v>602159.99999999988</v>
      </c>
      <c r="Q70" s="15" t="s">
        <v>787</v>
      </c>
      <c r="R70" s="30" t="s">
        <v>121</v>
      </c>
      <c r="S70" s="30" t="s">
        <v>318</v>
      </c>
      <c r="T70" s="15" t="s">
        <v>40</v>
      </c>
      <c r="U70" s="15">
        <v>5.13</v>
      </c>
      <c r="V70" s="15">
        <v>0.81</v>
      </c>
      <c r="W70" s="15">
        <f t="shared" si="1"/>
        <v>5.9399999999999995</v>
      </c>
      <c r="X70" s="16">
        <v>2570</v>
      </c>
      <c r="Y70" s="15" t="s">
        <v>47</v>
      </c>
    </row>
    <row r="71" spans="1:25" x14ac:dyDescent="0.2">
      <c r="A71" s="13">
        <v>68</v>
      </c>
      <c r="B71" s="13" t="s">
        <v>26</v>
      </c>
      <c r="C71" s="13" t="s">
        <v>253</v>
      </c>
      <c r="D71" s="13" t="s">
        <v>28</v>
      </c>
      <c r="E71" s="13" t="s">
        <v>319</v>
      </c>
      <c r="F71" s="14" t="s">
        <v>320</v>
      </c>
      <c r="G71" s="15">
        <v>6</v>
      </c>
      <c r="H71" s="16" t="s">
        <v>56</v>
      </c>
      <c r="I71" s="16">
        <v>2570</v>
      </c>
      <c r="J71" s="17">
        <v>46387</v>
      </c>
      <c r="K71" s="17">
        <v>46526</v>
      </c>
      <c r="L71" s="16" t="s">
        <v>133</v>
      </c>
      <c r="M71" s="16" t="s">
        <v>35</v>
      </c>
      <c r="N71" s="16" t="s">
        <v>71</v>
      </c>
      <c r="O71" s="15">
        <v>1225499.9999999998</v>
      </c>
      <c r="P71" s="15">
        <v>660060</v>
      </c>
      <c r="Q71" s="15" t="s">
        <v>787</v>
      </c>
      <c r="R71" s="30" t="s">
        <v>321</v>
      </c>
      <c r="S71" s="30" t="s">
        <v>322</v>
      </c>
      <c r="T71" s="15" t="s">
        <v>40</v>
      </c>
      <c r="U71" s="15">
        <v>5.6999999999999993</v>
      </c>
      <c r="V71" s="15">
        <v>0.89999999999999991</v>
      </c>
      <c r="W71" s="15">
        <f t="shared" si="1"/>
        <v>6.6</v>
      </c>
      <c r="X71" s="16">
        <v>2570</v>
      </c>
      <c r="Y71" s="15" t="s">
        <v>41</v>
      </c>
    </row>
    <row r="72" spans="1:25" x14ac:dyDescent="0.2">
      <c r="A72" s="13">
        <v>69</v>
      </c>
      <c r="B72" s="13" t="s">
        <v>26</v>
      </c>
      <c r="C72" s="13" t="s">
        <v>27</v>
      </c>
      <c r="D72" s="13" t="s">
        <v>28</v>
      </c>
      <c r="E72" s="13" t="s">
        <v>323</v>
      </c>
      <c r="F72" s="14" t="s">
        <v>324</v>
      </c>
      <c r="G72" s="15">
        <v>12.6</v>
      </c>
      <c r="H72" s="16" t="s">
        <v>31</v>
      </c>
      <c r="I72" s="16">
        <v>2570</v>
      </c>
      <c r="J72" s="17">
        <v>46326</v>
      </c>
      <c r="K72" s="17">
        <v>46531</v>
      </c>
      <c r="L72" s="16" t="s">
        <v>133</v>
      </c>
      <c r="M72" s="16" t="s">
        <v>35</v>
      </c>
      <c r="N72" s="16" t="s">
        <v>36</v>
      </c>
      <c r="O72" s="15">
        <v>1286774.9999999998</v>
      </c>
      <c r="P72" s="15">
        <v>694800</v>
      </c>
      <c r="Q72" s="15" t="s">
        <v>787</v>
      </c>
      <c r="R72" s="30" t="s">
        <v>325</v>
      </c>
      <c r="S72" s="30" t="s">
        <v>830</v>
      </c>
      <c r="T72" s="15" t="s">
        <v>40</v>
      </c>
      <c r="U72" s="15">
        <v>11.969999999999999</v>
      </c>
      <c r="V72" s="15">
        <v>1.89</v>
      </c>
      <c r="W72" s="15">
        <f t="shared" si="1"/>
        <v>13.86</v>
      </c>
      <c r="X72" s="16">
        <v>2570</v>
      </c>
      <c r="Y72" s="15" t="s">
        <v>41</v>
      </c>
    </row>
    <row r="73" spans="1:25" x14ac:dyDescent="0.2">
      <c r="A73" s="13">
        <v>70</v>
      </c>
      <c r="B73" s="13" t="s">
        <v>26</v>
      </c>
      <c r="C73" s="13" t="s">
        <v>27</v>
      </c>
      <c r="D73" s="13" t="s">
        <v>28</v>
      </c>
      <c r="E73" s="13" t="s">
        <v>327</v>
      </c>
      <c r="F73" s="14" t="s">
        <v>328</v>
      </c>
      <c r="G73" s="15">
        <v>3.6</v>
      </c>
      <c r="H73" s="16" t="s">
        <v>56</v>
      </c>
      <c r="I73" s="16">
        <v>2570</v>
      </c>
      <c r="J73" s="17">
        <v>46326</v>
      </c>
      <c r="K73" s="17">
        <v>46540</v>
      </c>
      <c r="L73" s="16" t="s">
        <v>133</v>
      </c>
      <c r="M73" s="16" t="s">
        <v>35</v>
      </c>
      <c r="N73" s="16" t="s">
        <v>71</v>
      </c>
      <c r="O73" s="15">
        <v>735300</v>
      </c>
      <c r="P73" s="15">
        <v>405300</v>
      </c>
      <c r="Q73" s="15" t="s">
        <v>787</v>
      </c>
      <c r="R73" s="30" t="s">
        <v>322</v>
      </c>
      <c r="S73" s="30" t="s">
        <v>329</v>
      </c>
      <c r="T73" s="15" t="s">
        <v>40</v>
      </c>
      <c r="U73" s="15">
        <v>3.42</v>
      </c>
      <c r="V73" s="15">
        <v>0.54</v>
      </c>
      <c r="W73" s="15">
        <f t="shared" si="1"/>
        <v>3.96</v>
      </c>
      <c r="X73" s="16">
        <v>2570</v>
      </c>
      <c r="Y73" s="15" t="s">
        <v>41</v>
      </c>
    </row>
    <row r="74" spans="1:25" x14ac:dyDescent="0.2">
      <c r="A74" s="13">
        <v>71</v>
      </c>
      <c r="B74" s="13" t="s">
        <v>26</v>
      </c>
      <c r="C74" s="13" t="s">
        <v>27</v>
      </c>
      <c r="D74" s="13" t="s">
        <v>28</v>
      </c>
      <c r="E74" s="13" t="s">
        <v>330</v>
      </c>
      <c r="F74" s="14" t="s">
        <v>331</v>
      </c>
      <c r="G74" s="15">
        <v>10.6</v>
      </c>
      <c r="H74" s="16" t="s">
        <v>118</v>
      </c>
      <c r="I74" s="16">
        <v>2570</v>
      </c>
      <c r="J74" s="17">
        <v>46387</v>
      </c>
      <c r="K74" s="17">
        <v>46559</v>
      </c>
      <c r="L74" s="16" t="s">
        <v>133</v>
      </c>
      <c r="M74" s="16" t="s">
        <v>35</v>
      </c>
      <c r="N74" s="16" t="s">
        <v>36</v>
      </c>
      <c r="O74" s="15">
        <v>1082524.9999999998</v>
      </c>
      <c r="P74" s="15">
        <v>584790</v>
      </c>
      <c r="Q74" s="15" t="s">
        <v>787</v>
      </c>
      <c r="R74" s="30" t="s">
        <v>332</v>
      </c>
      <c r="S74" s="30" t="s">
        <v>333</v>
      </c>
      <c r="T74" s="15" t="s">
        <v>40</v>
      </c>
      <c r="U74" s="15">
        <v>10.069999999999999</v>
      </c>
      <c r="V74" s="15">
        <v>1.5899999999999999</v>
      </c>
      <c r="W74" s="15">
        <f t="shared" si="1"/>
        <v>11.659999999999998</v>
      </c>
      <c r="X74" s="16">
        <v>2570</v>
      </c>
      <c r="Y74" s="15" t="s">
        <v>41</v>
      </c>
    </row>
    <row r="75" spans="1:25" x14ac:dyDescent="0.2">
      <c r="A75" s="13">
        <v>72</v>
      </c>
      <c r="B75" s="13" t="s">
        <v>26</v>
      </c>
      <c r="C75" s="13" t="s">
        <v>27</v>
      </c>
      <c r="D75" s="13" t="s">
        <v>28</v>
      </c>
      <c r="E75" s="13" t="s">
        <v>334</v>
      </c>
      <c r="F75" s="14" t="s">
        <v>335</v>
      </c>
      <c r="G75" s="15">
        <v>9.1</v>
      </c>
      <c r="H75" s="16" t="s">
        <v>44</v>
      </c>
      <c r="I75" s="16">
        <v>2570</v>
      </c>
      <c r="J75" s="17">
        <v>46387</v>
      </c>
      <c r="K75" s="17">
        <v>46563</v>
      </c>
      <c r="L75" s="16" t="s">
        <v>133</v>
      </c>
      <c r="M75" s="16" t="s">
        <v>35</v>
      </c>
      <c r="N75" s="16" t="s">
        <v>36</v>
      </c>
      <c r="O75" s="15">
        <v>778050</v>
      </c>
      <c r="P75" s="15">
        <v>503730</v>
      </c>
      <c r="Q75" s="15" t="s">
        <v>787</v>
      </c>
      <c r="R75" s="30" t="s">
        <v>311</v>
      </c>
      <c r="S75" s="30" t="s">
        <v>314</v>
      </c>
      <c r="T75" s="15" t="s">
        <v>53</v>
      </c>
      <c r="U75" s="15">
        <v>8.6449999999999996</v>
      </c>
      <c r="V75" s="15">
        <v>1.365</v>
      </c>
      <c r="W75" s="15">
        <f t="shared" si="1"/>
        <v>10.01</v>
      </c>
      <c r="X75" s="16">
        <v>2570</v>
      </c>
      <c r="Y75" s="15" t="s">
        <v>47</v>
      </c>
    </row>
    <row r="76" spans="1:25" x14ac:dyDescent="0.2">
      <c r="A76" s="13">
        <v>73</v>
      </c>
      <c r="B76" s="13" t="s">
        <v>26</v>
      </c>
      <c r="C76" s="13" t="s">
        <v>27</v>
      </c>
      <c r="D76" s="13" t="s">
        <v>28</v>
      </c>
      <c r="E76" s="13" t="s">
        <v>336</v>
      </c>
      <c r="F76" s="14" t="s">
        <v>337</v>
      </c>
      <c r="G76" s="15">
        <v>4.2</v>
      </c>
      <c r="H76" s="16" t="s">
        <v>44</v>
      </c>
      <c r="I76" s="16">
        <v>2570</v>
      </c>
      <c r="J76" s="17">
        <v>46477</v>
      </c>
      <c r="K76" s="17">
        <v>46595</v>
      </c>
      <c r="L76" s="16" t="s">
        <v>133</v>
      </c>
      <c r="M76" s="16" t="s">
        <v>35</v>
      </c>
      <c r="N76" s="16" t="s">
        <v>71</v>
      </c>
      <c r="O76" s="15">
        <v>718200</v>
      </c>
      <c r="P76" s="15">
        <v>463200</v>
      </c>
      <c r="Q76" s="15" t="s">
        <v>787</v>
      </c>
      <c r="R76" s="30" t="s">
        <v>311</v>
      </c>
      <c r="S76" s="30" t="s">
        <v>338</v>
      </c>
      <c r="T76" s="15" t="s">
        <v>53</v>
      </c>
      <c r="U76" s="15">
        <v>3.9899999999999998</v>
      </c>
      <c r="V76" s="15">
        <v>0.63</v>
      </c>
      <c r="W76" s="15">
        <f t="shared" si="1"/>
        <v>4.62</v>
      </c>
      <c r="X76" s="16">
        <v>2571</v>
      </c>
      <c r="Y76" s="15" t="s">
        <v>47</v>
      </c>
    </row>
    <row r="77" spans="1:25" x14ac:dyDescent="0.2">
      <c r="A77" s="13">
        <v>74</v>
      </c>
      <c r="B77" s="13" t="s">
        <v>26</v>
      </c>
      <c r="C77" s="13" t="s">
        <v>149</v>
      </c>
      <c r="D77" s="13" t="s">
        <v>28</v>
      </c>
      <c r="E77" s="13" t="s">
        <v>339</v>
      </c>
      <c r="F77" s="14" t="s">
        <v>340</v>
      </c>
      <c r="G77" s="15">
        <v>9.4</v>
      </c>
      <c r="H77" s="16" t="s">
        <v>118</v>
      </c>
      <c r="I77" s="16">
        <v>2570</v>
      </c>
      <c r="J77" s="17">
        <v>46387</v>
      </c>
      <c r="K77" s="17">
        <v>46650</v>
      </c>
      <c r="L77" s="16" t="s">
        <v>133</v>
      </c>
      <c r="M77" s="16" t="s">
        <v>35</v>
      </c>
      <c r="N77" s="16" t="s">
        <v>36</v>
      </c>
      <c r="O77" s="15">
        <v>959975</v>
      </c>
      <c r="P77" s="15">
        <v>521100</v>
      </c>
      <c r="Q77" s="15" t="s">
        <v>787</v>
      </c>
      <c r="R77" s="30" t="s">
        <v>341</v>
      </c>
      <c r="S77" s="30" t="s">
        <v>342</v>
      </c>
      <c r="T77" s="15" t="s">
        <v>40</v>
      </c>
      <c r="U77" s="15">
        <v>8.93</v>
      </c>
      <c r="V77" s="15">
        <v>1.41</v>
      </c>
      <c r="W77" s="15">
        <f t="shared" si="1"/>
        <v>10.34</v>
      </c>
      <c r="X77" s="16">
        <v>2571</v>
      </c>
      <c r="Y77" s="15" t="s">
        <v>47</v>
      </c>
    </row>
    <row r="78" spans="1:25" x14ac:dyDescent="0.2">
      <c r="A78" s="13">
        <v>75</v>
      </c>
      <c r="B78" s="13" t="s">
        <v>26</v>
      </c>
      <c r="C78" s="13" t="s">
        <v>27</v>
      </c>
      <c r="D78" s="13" t="s">
        <v>28</v>
      </c>
      <c r="E78" s="13" t="s">
        <v>343</v>
      </c>
      <c r="F78" s="14" t="s">
        <v>344</v>
      </c>
      <c r="G78" s="15">
        <v>16.2</v>
      </c>
      <c r="H78" s="16" t="s">
        <v>56</v>
      </c>
      <c r="I78" s="16">
        <v>2570</v>
      </c>
      <c r="J78" s="17">
        <v>46387</v>
      </c>
      <c r="K78" s="17">
        <v>46657</v>
      </c>
      <c r="L78" s="16" t="s">
        <v>133</v>
      </c>
      <c r="M78" s="16" t="s">
        <v>35</v>
      </c>
      <c r="N78" s="16" t="s">
        <v>36</v>
      </c>
      <c r="O78" s="15">
        <v>1654424.9999999998</v>
      </c>
      <c r="P78" s="15">
        <v>891660</v>
      </c>
      <c r="Q78" s="15" t="s">
        <v>787</v>
      </c>
      <c r="R78" s="30" t="s">
        <v>345</v>
      </c>
      <c r="S78" s="30" t="s">
        <v>346</v>
      </c>
      <c r="T78" s="15" t="s">
        <v>40</v>
      </c>
      <c r="U78" s="15">
        <v>15.389999999999999</v>
      </c>
      <c r="V78" s="15">
        <v>2.4299999999999997</v>
      </c>
      <c r="W78" s="15">
        <f t="shared" si="1"/>
        <v>17.82</v>
      </c>
      <c r="X78" s="16">
        <v>2570</v>
      </c>
      <c r="Y78" s="15" t="s">
        <v>47</v>
      </c>
    </row>
    <row r="79" spans="1:25" x14ac:dyDescent="0.2">
      <c r="A79" s="13">
        <v>76</v>
      </c>
      <c r="B79" s="13" t="s">
        <v>26</v>
      </c>
      <c r="C79" s="13" t="s">
        <v>27</v>
      </c>
      <c r="D79" s="13" t="s">
        <v>28</v>
      </c>
      <c r="E79" s="13" t="s">
        <v>347</v>
      </c>
      <c r="F79" s="14" t="s">
        <v>348</v>
      </c>
      <c r="G79" s="15">
        <v>17</v>
      </c>
      <c r="H79" s="16" t="s">
        <v>118</v>
      </c>
      <c r="I79" s="16">
        <v>2570</v>
      </c>
      <c r="J79" s="17">
        <v>46387</v>
      </c>
      <c r="K79" s="17">
        <v>46657</v>
      </c>
      <c r="L79" s="16" t="s">
        <v>133</v>
      </c>
      <c r="M79" s="16" t="s">
        <v>35</v>
      </c>
      <c r="N79" s="16" t="s">
        <v>36</v>
      </c>
      <c r="O79" s="15">
        <v>1236250</v>
      </c>
      <c r="P79" s="15">
        <v>665850</v>
      </c>
      <c r="Q79" s="15" t="s">
        <v>787</v>
      </c>
      <c r="R79" s="30" t="s">
        <v>346</v>
      </c>
      <c r="S79" s="30" t="s">
        <v>349</v>
      </c>
      <c r="T79" s="15" t="s">
        <v>40</v>
      </c>
      <c r="U79" s="15">
        <v>11.5</v>
      </c>
      <c r="V79" s="15">
        <v>2.5499999999999998</v>
      </c>
      <c r="W79" s="15">
        <f t="shared" si="1"/>
        <v>14.05</v>
      </c>
      <c r="X79" s="16">
        <v>2570</v>
      </c>
      <c r="Y79" s="15" t="s">
        <v>47</v>
      </c>
    </row>
    <row r="80" spans="1:25" x14ac:dyDescent="0.2">
      <c r="A80" s="13">
        <v>77</v>
      </c>
      <c r="B80" s="13" t="s">
        <v>26</v>
      </c>
      <c r="C80" s="13" t="s">
        <v>122</v>
      </c>
      <c r="D80" s="13" t="s">
        <v>28</v>
      </c>
      <c r="E80" s="13" t="s">
        <v>350</v>
      </c>
      <c r="F80" s="14" t="s">
        <v>351</v>
      </c>
      <c r="G80" s="15">
        <v>2.6</v>
      </c>
      <c r="H80" s="16" t="s">
        <v>56</v>
      </c>
      <c r="I80" s="16">
        <v>2570</v>
      </c>
      <c r="J80" s="17">
        <v>46295</v>
      </c>
      <c r="K80" s="17">
        <v>46679</v>
      </c>
      <c r="L80" s="16" t="s">
        <v>133</v>
      </c>
      <c r="M80" s="16" t="s">
        <v>35</v>
      </c>
      <c r="N80" s="16" t="s">
        <v>71</v>
      </c>
      <c r="O80" s="15">
        <v>531050</v>
      </c>
      <c r="P80" s="15">
        <v>289500</v>
      </c>
      <c r="Q80" s="15" t="s">
        <v>787</v>
      </c>
      <c r="R80" s="30" t="s">
        <v>352</v>
      </c>
      <c r="S80" s="30" t="s">
        <v>353</v>
      </c>
      <c r="T80" s="15" t="s">
        <v>40</v>
      </c>
      <c r="U80" s="15">
        <v>2.4699999999999998</v>
      </c>
      <c r="V80" s="15">
        <v>0.39</v>
      </c>
      <c r="W80" s="15">
        <f t="shared" si="1"/>
        <v>2.86</v>
      </c>
      <c r="X80" s="16">
        <v>2571</v>
      </c>
      <c r="Y80" s="15" t="s">
        <v>59</v>
      </c>
    </row>
    <row r="81" spans="1:25" x14ac:dyDescent="0.2">
      <c r="A81" s="13">
        <v>78</v>
      </c>
      <c r="B81" s="13" t="s">
        <v>26</v>
      </c>
      <c r="C81" s="13" t="s">
        <v>27</v>
      </c>
      <c r="D81" s="13" t="s">
        <v>28</v>
      </c>
      <c r="E81" s="13" t="s">
        <v>354</v>
      </c>
      <c r="F81" s="14" t="s">
        <v>355</v>
      </c>
      <c r="G81" s="15">
        <v>3.5</v>
      </c>
      <c r="H81" s="16" t="s">
        <v>56</v>
      </c>
      <c r="I81" s="16">
        <v>2570</v>
      </c>
      <c r="J81" s="17">
        <v>46387</v>
      </c>
      <c r="K81" s="17">
        <v>46685</v>
      </c>
      <c r="L81" s="16" t="s">
        <v>133</v>
      </c>
      <c r="M81" s="16" t="s">
        <v>35</v>
      </c>
      <c r="N81" s="16" t="s">
        <v>71</v>
      </c>
      <c r="O81" s="15">
        <v>714875</v>
      </c>
      <c r="P81" s="15">
        <v>393720</v>
      </c>
      <c r="Q81" s="15" t="s">
        <v>787</v>
      </c>
      <c r="R81" s="30" t="s">
        <v>356</v>
      </c>
      <c r="S81" s="30" t="s">
        <v>383</v>
      </c>
      <c r="T81" s="15" t="s">
        <v>40</v>
      </c>
      <c r="U81" s="15">
        <v>3.3249999999999997</v>
      </c>
      <c r="V81" s="15">
        <v>0.52500000000000002</v>
      </c>
      <c r="W81" s="15">
        <f t="shared" si="1"/>
        <v>3.8499999999999996</v>
      </c>
      <c r="X81" s="16">
        <v>2571</v>
      </c>
      <c r="Y81" s="15" t="s">
        <v>41</v>
      </c>
    </row>
    <row r="82" spans="1:25" x14ac:dyDescent="0.2">
      <c r="A82" s="13">
        <v>79</v>
      </c>
      <c r="B82" s="13" t="s">
        <v>26</v>
      </c>
      <c r="C82" s="13" t="s">
        <v>27</v>
      </c>
      <c r="D82" s="13" t="s">
        <v>28</v>
      </c>
      <c r="E82" s="13" t="s">
        <v>358</v>
      </c>
      <c r="F82" s="14" t="s">
        <v>359</v>
      </c>
      <c r="G82" s="15">
        <v>3.4</v>
      </c>
      <c r="H82" s="16" t="s">
        <v>56</v>
      </c>
      <c r="I82" s="16">
        <v>2570</v>
      </c>
      <c r="J82" s="17">
        <v>46599</v>
      </c>
      <c r="K82" s="17">
        <v>46706</v>
      </c>
      <c r="L82" s="16" t="s">
        <v>133</v>
      </c>
      <c r="M82" s="16" t="s">
        <v>35</v>
      </c>
      <c r="N82" s="16" t="s">
        <v>71</v>
      </c>
      <c r="O82" s="15">
        <v>694450</v>
      </c>
      <c r="P82" s="15">
        <v>382140.00000000006</v>
      </c>
      <c r="Q82" s="15" t="s">
        <v>787</v>
      </c>
      <c r="R82" s="30" t="s">
        <v>360</v>
      </c>
      <c r="S82" s="30" t="s">
        <v>361</v>
      </c>
      <c r="T82" s="15" t="s">
        <v>40</v>
      </c>
      <c r="U82" s="15">
        <v>3.23</v>
      </c>
      <c r="V82" s="15">
        <v>0.51</v>
      </c>
      <c r="W82" s="15">
        <f t="shared" si="1"/>
        <v>3.74</v>
      </c>
      <c r="X82" s="16">
        <v>2571</v>
      </c>
      <c r="Y82" s="15" t="s">
        <v>66</v>
      </c>
    </row>
    <row r="83" spans="1:25" x14ac:dyDescent="0.2">
      <c r="A83" s="13">
        <v>80</v>
      </c>
      <c r="B83" s="13" t="s">
        <v>26</v>
      </c>
      <c r="C83" s="13" t="s">
        <v>213</v>
      </c>
      <c r="D83" s="13" t="s">
        <v>28</v>
      </c>
      <c r="E83" s="13" t="s">
        <v>362</v>
      </c>
      <c r="F83" s="14" t="s">
        <v>363</v>
      </c>
      <c r="G83" s="15">
        <v>11.4</v>
      </c>
      <c r="H83" s="16" t="s">
        <v>118</v>
      </c>
      <c r="I83" s="16">
        <v>2570</v>
      </c>
      <c r="J83" s="17">
        <v>46599</v>
      </c>
      <c r="K83" s="17">
        <v>46721</v>
      </c>
      <c r="L83" s="16" t="s">
        <v>133</v>
      </c>
      <c r="M83" s="16" t="s">
        <v>35</v>
      </c>
      <c r="N83" s="16" t="s">
        <v>36</v>
      </c>
      <c r="O83" s="15">
        <v>1164225</v>
      </c>
      <c r="P83" s="15">
        <v>631110</v>
      </c>
      <c r="Q83" s="15" t="s">
        <v>787</v>
      </c>
      <c r="R83" s="30" t="s">
        <v>364</v>
      </c>
      <c r="S83" s="30" t="s">
        <v>365</v>
      </c>
      <c r="T83" s="15" t="s">
        <v>40</v>
      </c>
      <c r="U83" s="15">
        <v>10.83</v>
      </c>
      <c r="V83" s="15">
        <v>1.71</v>
      </c>
      <c r="W83" s="15">
        <f t="shared" si="1"/>
        <v>12.54</v>
      </c>
      <c r="X83" s="16">
        <v>2571</v>
      </c>
      <c r="Y83" s="15" t="s">
        <v>47</v>
      </c>
    </row>
    <row r="84" spans="1:25" x14ac:dyDescent="0.2">
      <c r="A84" s="13">
        <v>81</v>
      </c>
      <c r="B84" s="13" t="s">
        <v>26</v>
      </c>
      <c r="C84" s="13" t="s">
        <v>27</v>
      </c>
      <c r="D84" s="13" t="s">
        <v>28</v>
      </c>
      <c r="E84" s="13" t="s">
        <v>366</v>
      </c>
      <c r="F84" s="14" t="s">
        <v>367</v>
      </c>
      <c r="G84" s="15">
        <v>11</v>
      </c>
      <c r="H84" s="16" t="s">
        <v>31</v>
      </c>
      <c r="I84" s="16">
        <v>2570</v>
      </c>
      <c r="J84" s="17">
        <v>46599</v>
      </c>
      <c r="K84" s="17">
        <v>46721</v>
      </c>
      <c r="L84" s="16" t="s">
        <v>133</v>
      </c>
      <c r="M84" s="16" t="s">
        <v>35</v>
      </c>
      <c r="N84" s="16" t="s">
        <v>36</v>
      </c>
      <c r="O84" s="15">
        <v>940499.99999999988</v>
      </c>
      <c r="P84" s="15">
        <v>607950</v>
      </c>
      <c r="Q84" s="15" t="s">
        <v>787</v>
      </c>
      <c r="R84" s="30" t="s">
        <v>368</v>
      </c>
      <c r="S84" s="30" t="s">
        <v>369</v>
      </c>
      <c r="T84" s="15" t="s">
        <v>53</v>
      </c>
      <c r="U84" s="15">
        <v>10.45</v>
      </c>
      <c r="V84" s="15">
        <v>1.65</v>
      </c>
      <c r="W84" s="15">
        <f t="shared" si="1"/>
        <v>12.1</v>
      </c>
      <c r="X84" s="16">
        <v>2571</v>
      </c>
      <c r="Y84" s="15" t="s">
        <v>41</v>
      </c>
    </row>
    <row r="85" spans="1:25" x14ac:dyDescent="0.2">
      <c r="A85" s="13">
        <v>82</v>
      </c>
      <c r="B85" s="13" t="s">
        <v>26</v>
      </c>
      <c r="C85" s="13" t="s">
        <v>27</v>
      </c>
      <c r="D85" s="13" t="s">
        <v>28</v>
      </c>
      <c r="E85" s="13" t="s">
        <v>370</v>
      </c>
      <c r="F85" s="14" t="s">
        <v>371</v>
      </c>
      <c r="G85" s="15">
        <v>4.5999999999999996</v>
      </c>
      <c r="H85" s="16" t="s">
        <v>31</v>
      </c>
      <c r="I85" s="16">
        <v>2570</v>
      </c>
      <c r="J85" s="17">
        <v>46660</v>
      </c>
      <c r="K85" s="17">
        <v>46722</v>
      </c>
      <c r="L85" s="16" t="s">
        <v>133</v>
      </c>
      <c r="M85" s="16" t="s">
        <v>35</v>
      </c>
      <c r="N85" s="16" t="s">
        <v>36</v>
      </c>
      <c r="O85" s="15">
        <v>393299.99999999994</v>
      </c>
      <c r="P85" s="15">
        <v>254759.99999999994</v>
      </c>
      <c r="Q85" s="15" t="s">
        <v>787</v>
      </c>
      <c r="R85" s="30" t="s">
        <v>372</v>
      </c>
      <c r="S85" s="30" t="s">
        <v>373</v>
      </c>
      <c r="T85" s="15" t="s">
        <v>53</v>
      </c>
      <c r="U85" s="15">
        <v>4.3699999999999992</v>
      </c>
      <c r="V85" s="15">
        <v>0.69</v>
      </c>
      <c r="W85" s="15">
        <f t="shared" si="1"/>
        <v>5.0599999999999987</v>
      </c>
      <c r="X85" s="16">
        <v>2571</v>
      </c>
      <c r="Y85" s="15" t="s">
        <v>41</v>
      </c>
    </row>
    <row r="86" spans="1:25" x14ac:dyDescent="0.2">
      <c r="A86" s="13">
        <v>83</v>
      </c>
      <c r="B86" s="13" t="s">
        <v>26</v>
      </c>
      <c r="C86" s="13" t="s">
        <v>27</v>
      </c>
      <c r="D86" s="13" t="s">
        <v>28</v>
      </c>
      <c r="E86" s="13" t="s">
        <v>374</v>
      </c>
      <c r="F86" s="14" t="s">
        <v>375</v>
      </c>
      <c r="G86" s="15">
        <v>14</v>
      </c>
      <c r="H86" s="16" t="s">
        <v>44</v>
      </c>
      <c r="I86" s="16">
        <v>2570</v>
      </c>
      <c r="J86" s="17">
        <v>46568</v>
      </c>
      <c r="K86" s="17">
        <v>46728</v>
      </c>
      <c r="L86" s="16" t="s">
        <v>133</v>
      </c>
      <c r="M86" s="16" t="s">
        <v>134</v>
      </c>
      <c r="N86" s="16" t="s">
        <v>36</v>
      </c>
      <c r="O86" s="15">
        <v>1197000</v>
      </c>
      <c r="P86" s="15">
        <v>770070</v>
      </c>
      <c r="Q86" s="15" t="s">
        <v>787</v>
      </c>
      <c r="R86" s="30" t="s">
        <v>376</v>
      </c>
      <c r="S86" s="30" t="s">
        <v>377</v>
      </c>
      <c r="T86" s="15" t="s">
        <v>53</v>
      </c>
      <c r="U86" s="15">
        <v>13.299999999999999</v>
      </c>
      <c r="V86" s="15">
        <v>2.1</v>
      </c>
      <c r="W86" s="15">
        <f t="shared" si="1"/>
        <v>15.399999999999999</v>
      </c>
      <c r="X86" s="16">
        <v>2571</v>
      </c>
      <c r="Y86" s="15" t="s">
        <v>41</v>
      </c>
    </row>
    <row r="87" spans="1:25" x14ac:dyDescent="0.2">
      <c r="A87" s="13">
        <v>84</v>
      </c>
      <c r="B87" s="13" t="s">
        <v>26</v>
      </c>
      <c r="C87" s="13" t="s">
        <v>27</v>
      </c>
      <c r="D87" s="13" t="s">
        <v>28</v>
      </c>
      <c r="E87" s="13" t="s">
        <v>378</v>
      </c>
      <c r="F87" s="14" t="s">
        <v>379</v>
      </c>
      <c r="G87" s="15">
        <v>2.2000000000000002</v>
      </c>
      <c r="H87" s="16" t="s">
        <v>56</v>
      </c>
      <c r="I87" s="16">
        <v>2570</v>
      </c>
      <c r="J87" s="17">
        <v>46660</v>
      </c>
      <c r="K87" s="17">
        <v>46728</v>
      </c>
      <c r="L87" s="16" t="s">
        <v>133</v>
      </c>
      <c r="M87" s="16" t="s">
        <v>35</v>
      </c>
      <c r="N87" s="16" t="s">
        <v>36</v>
      </c>
      <c r="O87" s="15">
        <v>188100</v>
      </c>
      <c r="P87" s="15">
        <v>121590</v>
      </c>
      <c r="Q87" s="15" t="s">
        <v>787</v>
      </c>
      <c r="R87" s="30" t="s">
        <v>380</v>
      </c>
      <c r="S87" s="30" t="s">
        <v>381</v>
      </c>
      <c r="T87" s="15" t="s">
        <v>53</v>
      </c>
      <c r="U87" s="15">
        <v>2.09</v>
      </c>
      <c r="V87" s="15">
        <v>0.33</v>
      </c>
      <c r="W87" s="15">
        <f t="shared" si="1"/>
        <v>2.42</v>
      </c>
      <c r="X87" s="16">
        <v>2571</v>
      </c>
      <c r="Y87" s="15" t="s">
        <v>41</v>
      </c>
    </row>
    <row r="88" spans="1:25" x14ac:dyDescent="0.2">
      <c r="A88" s="13">
        <v>85</v>
      </c>
      <c r="B88" s="13" t="s">
        <v>26</v>
      </c>
      <c r="C88" s="13" t="s">
        <v>122</v>
      </c>
      <c r="D88" s="13" t="s">
        <v>28</v>
      </c>
      <c r="E88" s="13" t="s">
        <v>812</v>
      </c>
      <c r="F88" s="14" t="s">
        <v>351</v>
      </c>
      <c r="G88" s="15">
        <v>2.6</v>
      </c>
      <c r="H88" s="16" t="s">
        <v>56</v>
      </c>
      <c r="I88" s="16">
        <v>2570</v>
      </c>
      <c r="J88" s="17">
        <v>46295</v>
      </c>
      <c r="K88" s="17">
        <v>46679</v>
      </c>
      <c r="L88" s="16" t="s">
        <v>133</v>
      </c>
      <c r="M88" s="16" t="s">
        <v>35</v>
      </c>
      <c r="N88" s="16" t="s">
        <v>71</v>
      </c>
      <c r="O88" s="15">
        <v>531050</v>
      </c>
      <c r="P88" s="15">
        <v>289500</v>
      </c>
      <c r="Q88" s="15" t="s">
        <v>787</v>
      </c>
      <c r="R88" s="30" t="s">
        <v>382</v>
      </c>
      <c r="S88" s="30" t="s">
        <v>383</v>
      </c>
      <c r="T88" s="15" t="s">
        <v>40</v>
      </c>
      <c r="U88" s="15">
        <v>2.4699999999999998</v>
      </c>
      <c r="V88" s="15">
        <v>0.39</v>
      </c>
      <c r="W88" s="15">
        <f t="shared" si="1"/>
        <v>2.86</v>
      </c>
      <c r="X88" s="16">
        <v>2571</v>
      </c>
      <c r="Y88" s="15" t="s">
        <v>59</v>
      </c>
    </row>
    <row r="89" spans="1:25" x14ac:dyDescent="0.2">
      <c r="A89" s="13">
        <v>86</v>
      </c>
      <c r="B89" s="13" t="s">
        <v>26</v>
      </c>
      <c r="C89" s="13" t="s">
        <v>27</v>
      </c>
      <c r="D89" s="13" t="s">
        <v>28</v>
      </c>
      <c r="E89" s="13" t="s">
        <v>384</v>
      </c>
      <c r="F89" s="14" t="s">
        <v>385</v>
      </c>
      <c r="G89" s="15">
        <v>1.8</v>
      </c>
      <c r="H89" s="16" t="s">
        <v>31</v>
      </c>
      <c r="I89" s="16">
        <v>2571</v>
      </c>
      <c r="J89" s="17">
        <v>46568</v>
      </c>
      <c r="K89" s="17">
        <v>46783</v>
      </c>
      <c r="L89" s="16" t="s">
        <v>133</v>
      </c>
      <c r="M89" s="16" t="s">
        <v>35</v>
      </c>
      <c r="N89" s="16" t="s">
        <v>71</v>
      </c>
      <c r="O89" s="15">
        <v>367650</v>
      </c>
      <c r="P89" s="15">
        <v>208440</v>
      </c>
      <c r="Q89" s="15" t="s">
        <v>787</v>
      </c>
      <c r="R89" s="30" t="s">
        <v>386</v>
      </c>
      <c r="S89" s="30" t="s">
        <v>387</v>
      </c>
      <c r="T89" s="15" t="s">
        <v>40</v>
      </c>
      <c r="U89" s="15">
        <v>1.71</v>
      </c>
      <c r="V89" s="15">
        <v>0.27</v>
      </c>
      <c r="W89" s="15">
        <f t="shared" si="1"/>
        <v>1.98</v>
      </c>
      <c r="X89" s="16">
        <v>2571</v>
      </c>
      <c r="Y89" s="15" t="s">
        <v>59</v>
      </c>
    </row>
    <row r="90" spans="1:25" x14ac:dyDescent="0.2">
      <c r="A90" s="13">
        <v>87</v>
      </c>
      <c r="B90" s="13" t="s">
        <v>26</v>
      </c>
      <c r="C90" s="13" t="s">
        <v>27</v>
      </c>
      <c r="D90" s="13" t="s">
        <v>28</v>
      </c>
      <c r="E90" s="13" t="s">
        <v>388</v>
      </c>
      <c r="F90" s="14" t="s">
        <v>389</v>
      </c>
      <c r="G90" s="15">
        <v>13</v>
      </c>
      <c r="H90" s="16" t="s">
        <v>56</v>
      </c>
      <c r="I90" s="16">
        <v>2571</v>
      </c>
      <c r="J90" s="17">
        <v>46660</v>
      </c>
      <c r="K90" s="17">
        <v>46783</v>
      </c>
      <c r="L90" s="16" t="s">
        <v>133</v>
      </c>
      <c r="M90" s="16" t="s">
        <v>35</v>
      </c>
      <c r="N90" s="16" t="s">
        <v>36</v>
      </c>
      <c r="O90" s="15">
        <v>1327625</v>
      </c>
      <c r="P90" s="15">
        <v>717960</v>
      </c>
      <c r="Q90" s="15" t="s">
        <v>787</v>
      </c>
      <c r="R90" s="30" t="s">
        <v>390</v>
      </c>
      <c r="S90" s="30" t="s">
        <v>391</v>
      </c>
      <c r="T90" s="15" t="s">
        <v>40</v>
      </c>
      <c r="U90" s="15">
        <v>12.35</v>
      </c>
      <c r="V90" s="15">
        <v>1.95</v>
      </c>
      <c r="W90" s="15">
        <f t="shared" si="1"/>
        <v>14.299999999999999</v>
      </c>
      <c r="X90" s="16">
        <v>2571</v>
      </c>
      <c r="Y90" s="15" t="s">
        <v>59</v>
      </c>
    </row>
    <row r="91" spans="1:25" x14ac:dyDescent="0.2">
      <c r="A91" s="13">
        <v>88</v>
      </c>
      <c r="B91" s="13" t="s">
        <v>26</v>
      </c>
      <c r="C91" s="13" t="s">
        <v>122</v>
      </c>
      <c r="D91" s="13" t="s">
        <v>28</v>
      </c>
      <c r="E91" s="13" t="s">
        <v>392</v>
      </c>
      <c r="F91" s="14" t="s">
        <v>393</v>
      </c>
      <c r="G91" s="15">
        <v>14</v>
      </c>
      <c r="H91" s="16" t="s">
        <v>44</v>
      </c>
      <c r="I91" s="16">
        <v>2571</v>
      </c>
      <c r="J91" s="17">
        <v>46690</v>
      </c>
      <c r="K91" s="17">
        <v>46811</v>
      </c>
      <c r="L91" s="16" t="s">
        <v>133</v>
      </c>
      <c r="M91" s="16" t="s">
        <v>35</v>
      </c>
      <c r="N91" s="16" t="s">
        <v>36</v>
      </c>
      <c r="O91" s="15">
        <v>1429750</v>
      </c>
      <c r="P91" s="15">
        <v>770070</v>
      </c>
      <c r="Q91" s="15" t="s">
        <v>787</v>
      </c>
      <c r="R91" s="30" t="s">
        <v>394</v>
      </c>
      <c r="S91" s="30" t="s">
        <v>395</v>
      </c>
      <c r="T91" s="15" t="s">
        <v>40</v>
      </c>
      <c r="U91" s="15">
        <v>13.299999999999999</v>
      </c>
      <c r="V91" s="15">
        <v>2.1</v>
      </c>
      <c r="W91" s="15">
        <f t="shared" si="1"/>
        <v>15.399999999999999</v>
      </c>
      <c r="X91" s="16">
        <v>2571</v>
      </c>
      <c r="Y91" s="15" t="s">
        <v>59</v>
      </c>
    </row>
    <row r="92" spans="1:25" x14ac:dyDescent="0.2">
      <c r="A92" s="13">
        <v>89</v>
      </c>
      <c r="B92" s="13" t="s">
        <v>26</v>
      </c>
      <c r="C92" s="13" t="s">
        <v>122</v>
      </c>
      <c r="D92" s="13" t="s">
        <v>28</v>
      </c>
      <c r="E92" s="13" t="s">
        <v>396</v>
      </c>
      <c r="F92" s="14" t="s">
        <v>397</v>
      </c>
      <c r="G92" s="15">
        <v>2.8</v>
      </c>
      <c r="H92" s="16" t="s">
        <v>56</v>
      </c>
      <c r="I92" s="16">
        <v>2571</v>
      </c>
      <c r="J92" s="17">
        <v>46660</v>
      </c>
      <c r="K92" s="17">
        <v>46811</v>
      </c>
      <c r="L92" s="16" t="s">
        <v>133</v>
      </c>
      <c r="M92" s="16" t="s">
        <v>35</v>
      </c>
      <c r="N92" s="16" t="s">
        <v>71</v>
      </c>
      <c r="O92" s="15">
        <v>571899.99999999988</v>
      </c>
      <c r="P92" s="15">
        <v>312660</v>
      </c>
      <c r="Q92" s="15" t="s">
        <v>787</v>
      </c>
      <c r="R92" s="30" t="s">
        <v>398</v>
      </c>
      <c r="S92" s="30" t="s">
        <v>399</v>
      </c>
      <c r="T92" s="15" t="s">
        <v>40</v>
      </c>
      <c r="U92" s="15">
        <v>2.6599999999999997</v>
      </c>
      <c r="V92" s="15">
        <v>0.42</v>
      </c>
      <c r="W92" s="15">
        <f t="shared" si="1"/>
        <v>3.0799999999999996</v>
      </c>
      <c r="X92" s="16">
        <v>2571</v>
      </c>
      <c r="Y92" s="15" t="s">
        <v>59</v>
      </c>
    </row>
    <row r="93" spans="1:25" x14ac:dyDescent="0.2">
      <c r="A93" s="13">
        <v>90</v>
      </c>
      <c r="B93" s="13" t="s">
        <v>26</v>
      </c>
      <c r="C93" s="13" t="s">
        <v>213</v>
      </c>
      <c r="D93" s="13" t="s">
        <v>28</v>
      </c>
      <c r="E93" s="13" t="s">
        <v>400</v>
      </c>
      <c r="F93" s="14" t="s">
        <v>401</v>
      </c>
      <c r="G93" s="15">
        <v>8</v>
      </c>
      <c r="H93" s="16" t="s">
        <v>118</v>
      </c>
      <c r="I93" s="16">
        <v>2571</v>
      </c>
      <c r="J93" s="17">
        <v>46691</v>
      </c>
      <c r="K93" s="17">
        <v>46832</v>
      </c>
      <c r="L93" s="16" t="s">
        <v>133</v>
      </c>
      <c r="M93" s="16" t="s">
        <v>35</v>
      </c>
      <c r="N93" s="16" t="s">
        <v>36</v>
      </c>
      <c r="O93" s="15">
        <v>684000</v>
      </c>
      <c r="P93" s="15">
        <v>440040</v>
      </c>
      <c r="Q93" s="15" t="s">
        <v>787</v>
      </c>
      <c r="R93" s="30" t="s">
        <v>402</v>
      </c>
      <c r="S93" s="30" t="s">
        <v>403</v>
      </c>
      <c r="T93" s="15" t="s">
        <v>53</v>
      </c>
      <c r="U93" s="15">
        <v>7.6</v>
      </c>
      <c r="V93" s="15">
        <v>1.2</v>
      </c>
      <c r="W93" s="15">
        <f t="shared" si="1"/>
        <v>8.7999999999999989</v>
      </c>
      <c r="X93" s="16">
        <v>2571</v>
      </c>
      <c r="Y93" s="15" t="s">
        <v>41</v>
      </c>
    </row>
    <row r="94" spans="1:25" x14ac:dyDescent="0.2">
      <c r="A94" s="13">
        <v>91</v>
      </c>
      <c r="B94" s="13" t="s">
        <v>26</v>
      </c>
      <c r="C94" s="13" t="s">
        <v>27</v>
      </c>
      <c r="D94" s="13" t="s">
        <v>28</v>
      </c>
      <c r="E94" s="13" t="s">
        <v>404</v>
      </c>
      <c r="F94" s="14" t="s">
        <v>405</v>
      </c>
      <c r="G94" s="15">
        <v>15.2</v>
      </c>
      <c r="H94" s="16" t="s">
        <v>44</v>
      </c>
      <c r="I94" s="16">
        <v>2571</v>
      </c>
      <c r="J94" s="17">
        <v>46752</v>
      </c>
      <c r="K94" s="17">
        <v>46869</v>
      </c>
      <c r="L94" s="16" t="s">
        <v>133</v>
      </c>
      <c r="M94" s="16" t="s">
        <v>35</v>
      </c>
      <c r="N94" s="16" t="s">
        <v>36</v>
      </c>
      <c r="O94" s="15">
        <v>917999.99999999988</v>
      </c>
      <c r="P94" s="15">
        <v>590580</v>
      </c>
      <c r="Q94" s="15" t="s">
        <v>787</v>
      </c>
      <c r="R94" s="30" t="s">
        <v>406</v>
      </c>
      <c r="S94" s="30" t="s">
        <v>831</v>
      </c>
      <c r="T94" s="15" t="s">
        <v>53</v>
      </c>
      <c r="U94" s="15">
        <v>10.199999999999999</v>
      </c>
      <c r="V94" s="15">
        <v>2.2799999999999998</v>
      </c>
      <c r="W94" s="15">
        <f t="shared" si="1"/>
        <v>12.479999999999999</v>
      </c>
      <c r="X94" s="16">
        <v>2571</v>
      </c>
      <c r="Y94" s="15" t="s">
        <v>41</v>
      </c>
    </row>
    <row r="95" spans="1:25" x14ac:dyDescent="0.2">
      <c r="A95" s="13">
        <v>92</v>
      </c>
      <c r="B95" s="13" t="s">
        <v>26</v>
      </c>
      <c r="C95" s="13" t="s">
        <v>27</v>
      </c>
      <c r="D95" s="13" t="s">
        <v>28</v>
      </c>
      <c r="E95" s="13" t="s">
        <v>408</v>
      </c>
      <c r="F95" s="14" t="s">
        <v>409</v>
      </c>
      <c r="G95" s="15">
        <v>22</v>
      </c>
      <c r="H95" s="16" t="s">
        <v>118</v>
      </c>
      <c r="I95" s="16">
        <v>2571</v>
      </c>
      <c r="J95" s="17">
        <v>46752</v>
      </c>
      <c r="K95" s="17">
        <v>46965</v>
      </c>
      <c r="L95" s="16" t="s">
        <v>133</v>
      </c>
      <c r="M95" s="16" t="s">
        <v>35</v>
      </c>
      <c r="N95" s="16" t="s">
        <v>36</v>
      </c>
      <c r="O95" s="15">
        <v>1612500</v>
      </c>
      <c r="P95" s="15">
        <v>868500</v>
      </c>
      <c r="Q95" s="15" t="s">
        <v>787</v>
      </c>
      <c r="R95" s="30" t="s">
        <v>410</v>
      </c>
      <c r="S95" s="30" t="s">
        <v>411</v>
      </c>
      <c r="T95" s="15" t="s">
        <v>40</v>
      </c>
      <c r="U95" s="15">
        <v>15</v>
      </c>
      <c r="V95" s="15">
        <v>3.3</v>
      </c>
      <c r="W95" s="15">
        <f t="shared" si="1"/>
        <v>18.3</v>
      </c>
      <c r="X95" s="16">
        <v>2571</v>
      </c>
      <c r="Y95" s="15" t="s">
        <v>59</v>
      </c>
    </row>
    <row r="96" spans="1:25" x14ac:dyDescent="0.2">
      <c r="A96" s="13">
        <v>93</v>
      </c>
      <c r="B96" s="13" t="s">
        <v>26</v>
      </c>
      <c r="C96" s="13" t="s">
        <v>27</v>
      </c>
      <c r="D96" s="13" t="s">
        <v>28</v>
      </c>
      <c r="E96" s="13" t="s">
        <v>412</v>
      </c>
      <c r="F96" s="14" t="s">
        <v>413</v>
      </c>
      <c r="G96" s="15">
        <v>2</v>
      </c>
      <c r="H96" s="16" t="s">
        <v>118</v>
      </c>
      <c r="I96" s="16">
        <v>2571</v>
      </c>
      <c r="J96" s="17">
        <v>46752</v>
      </c>
      <c r="K96" s="17">
        <v>46965</v>
      </c>
      <c r="L96" s="16" t="s">
        <v>133</v>
      </c>
      <c r="M96" s="16" t="s">
        <v>35</v>
      </c>
      <c r="N96" s="16" t="s">
        <v>36</v>
      </c>
      <c r="O96" s="15">
        <v>171000</v>
      </c>
      <c r="P96" s="15">
        <v>110010</v>
      </c>
      <c r="Q96" s="15" t="s">
        <v>787</v>
      </c>
      <c r="R96" s="30" t="s">
        <v>411</v>
      </c>
      <c r="S96" s="30" t="s">
        <v>414</v>
      </c>
      <c r="T96" s="15" t="s">
        <v>53</v>
      </c>
      <c r="U96" s="15">
        <v>1.9</v>
      </c>
      <c r="V96" s="15">
        <v>0.3</v>
      </c>
      <c r="W96" s="15">
        <f t="shared" si="1"/>
        <v>2.1999999999999997</v>
      </c>
      <c r="X96" s="16">
        <v>2571</v>
      </c>
      <c r="Y96" s="15" t="s">
        <v>59</v>
      </c>
    </row>
    <row r="97" spans="1:26" x14ac:dyDescent="0.2">
      <c r="A97" s="13">
        <v>94</v>
      </c>
      <c r="B97" s="13" t="s">
        <v>415</v>
      </c>
      <c r="C97" s="13" t="s">
        <v>416</v>
      </c>
      <c r="D97" s="13" t="s">
        <v>28</v>
      </c>
      <c r="E97" s="13" t="s">
        <v>417</v>
      </c>
      <c r="F97" s="14" t="s">
        <v>418</v>
      </c>
      <c r="G97" s="15">
        <v>4.5999999999999996</v>
      </c>
      <c r="H97" s="16" t="s">
        <v>419</v>
      </c>
      <c r="I97" s="16">
        <v>2569</v>
      </c>
      <c r="J97" s="17"/>
      <c r="K97" s="17" t="s">
        <v>420</v>
      </c>
      <c r="L97" s="16" t="s">
        <v>34</v>
      </c>
      <c r="M97" s="16" t="s">
        <v>84</v>
      </c>
      <c r="N97" s="16" t="s">
        <v>71</v>
      </c>
      <c r="O97" s="15">
        <v>141340</v>
      </c>
      <c r="P97" s="15">
        <v>0</v>
      </c>
      <c r="Q97" s="15" t="s">
        <v>787</v>
      </c>
      <c r="R97" s="30" t="s">
        <v>421</v>
      </c>
      <c r="S97" s="30" t="s">
        <v>422</v>
      </c>
      <c r="T97" s="15" t="s">
        <v>423</v>
      </c>
      <c r="U97" s="15">
        <v>0</v>
      </c>
      <c r="V97" s="15">
        <v>2</v>
      </c>
      <c r="W97" s="15">
        <f t="shared" si="1"/>
        <v>2</v>
      </c>
      <c r="X97" s="16">
        <v>2569</v>
      </c>
      <c r="Y97" s="15" t="s">
        <v>47</v>
      </c>
    </row>
    <row r="98" spans="1:26" ht="38.25" x14ac:dyDescent="0.2">
      <c r="A98" s="13">
        <v>95</v>
      </c>
      <c r="B98" s="13" t="s">
        <v>415</v>
      </c>
      <c r="C98" s="13" t="s">
        <v>424</v>
      </c>
      <c r="D98" s="13" t="s">
        <v>28</v>
      </c>
      <c r="E98" s="13" t="s">
        <v>425</v>
      </c>
      <c r="F98" s="14" t="s">
        <v>426</v>
      </c>
      <c r="G98" s="15">
        <v>2.4</v>
      </c>
      <c r="H98" s="16" t="s">
        <v>427</v>
      </c>
      <c r="I98" s="16">
        <v>2569</v>
      </c>
      <c r="J98" s="17"/>
      <c r="K98" s="17" t="s">
        <v>420</v>
      </c>
      <c r="L98" s="16" t="s">
        <v>34</v>
      </c>
      <c r="M98" s="16" t="s">
        <v>84</v>
      </c>
      <c r="N98" s="16" t="s">
        <v>71</v>
      </c>
      <c r="O98" s="15">
        <v>141340</v>
      </c>
      <c r="P98" s="15">
        <v>0</v>
      </c>
      <c r="Q98" s="15" t="s">
        <v>37</v>
      </c>
      <c r="R98" s="30" t="s">
        <v>428</v>
      </c>
      <c r="S98" s="30" t="s">
        <v>429</v>
      </c>
      <c r="T98" s="15" t="s">
        <v>423</v>
      </c>
      <c r="U98" s="15">
        <v>0</v>
      </c>
      <c r="V98" s="15">
        <v>2</v>
      </c>
      <c r="W98" s="15">
        <f t="shared" si="1"/>
        <v>2</v>
      </c>
      <c r="X98" s="16">
        <v>2567</v>
      </c>
      <c r="Y98" s="15" t="s">
        <v>47</v>
      </c>
    </row>
    <row r="99" spans="1:26" x14ac:dyDescent="0.2">
      <c r="A99" s="13">
        <v>96</v>
      </c>
      <c r="B99" s="13" t="s">
        <v>415</v>
      </c>
      <c r="C99" s="13" t="s">
        <v>430</v>
      </c>
      <c r="D99" s="13" t="s">
        <v>28</v>
      </c>
      <c r="E99" s="13" t="s">
        <v>431</v>
      </c>
      <c r="F99" s="14" t="s">
        <v>432</v>
      </c>
      <c r="G99" s="15">
        <v>2.6</v>
      </c>
      <c r="H99" s="16" t="s">
        <v>419</v>
      </c>
      <c r="I99" s="16">
        <v>2569</v>
      </c>
      <c r="J99" s="17"/>
      <c r="K99" s="17" t="s">
        <v>420</v>
      </c>
      <c r="L99" s="15" t="s">
        <v>69</v>
      </c>
      <c r="M99" s="16" t="s">
        <v>70</v>
      </c>
      <c r="N99" s="16" t="s">
        <v>71</v>
      </c>
      <c r="O99" s="15">
        <v>0</v>
      </c>
      <c r="P99" s="15">
        <v>0</v>
      </c>
      <c r="Q99" s="15" t="s">
        <v>69</v>
      </c>
      <c r="R99" s="30" t="s">
        <v>433</v>
      </c>
      <c r="S99" s="30" t="s">
        <v>434</v>
      </c>
      <c r="T99" s="15" t="s">
        <v>69</v>
      </c>
      <c r="U99" s="15">
        <v>0</v>
      </c>
      <c r="V99" s="15">
        <v>0</v>
      </c>
      <c r="W99" s="15">
        <f t="shared" si="1"/>
        <v>0</v>
      </c>
      <c r="X99" s="16" t="s">
        <v>69</v>
      </c>
      <c r="Y99" s="15" t="s">
        <v>69</v>
      </c>
    </row>
    <row r="100" spans="1:26" x14ac:dyDescent="0.2">
      <c r="A100" s="13">
        <v>97</v>
      </c>
      <c r="B100" s="13" t="s">
        <v>415</v>
      </c>
      <c r="C100" s="13" t="s">
        <v>416</v>
      </c>
      <c r="D100" s="13" t="s">
        <v>28</v>
      </c>
      <c r="E100" s="13" t="s">
        <v>435</v>
      </c>
      <c r="F100" s="14" t="s">
        <v>436</v>
      </c>
      <c r="G100" s="15">
        <v>6.8</v>
      </c>
      <c r="H100" s="16" t="s">
        <v>419</v>
      </c>
      <c r="I100" s="16">
        <v>2569</v>
      </c>
      <c r="J100" s="17"/>
      <c r="K100" s="17" t="s">
        <v>420</v>
      </c>
      <c r="L100" s="15" t="s">
        <v>69</v>
      </c>
      <c r="M100" s="16" t="s">
        <v>70</v>
      </c>
      <c r="N100" s="16" t="s">
        <v>71</v>
      </c>
      <c r="O100" s="15">
        <v>0</v>
      </c>
      <c r="P100" s="15">
        <v>0</v>
      </c>
      <c r="Q100" s="15" t="s">
        <v>69</v>
      </c>
      <c r="R100" s="30" t="s">
        <v>437</v>
      </c>
      <c r="S100" s="30" t="s">
        <v>438</v>
      </c>
      <c r="T100" s="15" t="s">
        <v>69</v>
      </c>
      <c r="U100" s="15">
        <v>0</v>
      </c>
      <c r="V100" s="15">
        <v>0</v>
      </c>
      <c r="W100" s="15">
        <f t="shared" si="1"/>
        <v>0</v>
      </c>
      <c r="X100" s="16" t="s">
        <v>69</v>
      </c>
      <c r="Y100" s="15" t="s">
        <v>69</v>
      </c>
    </row>
    <row r="101" spans="1:26" ht="25.5" x14ac:dyDescent="0.2">
      <c r="A101" s="13">
        <v>98</v>
      </c>
      <c r="B101" s="13" t="s">
        <v>415</v>
      </c>
      <c r="C101" s="13" t="s">
        <v>439</v>
      </c>
      <c r="D101" s="13" t="s">
        <v>28</v>
      </c>
      <c r="E101" s="13" t="s">
        <v>440</v>
      </c>
      <c r="F101" s="14" t="s">
        <v>441</v>
      </c>
      <c r="G101" s="15">
        <v>5.2</v>
      </c>
      <c r="H101" s="16" t="s">
        <v>427</v>
      </c>
      <c r="I101" s="16">
        <v>2569</v>
      </c>
      <c r="J101" s="17"/>
      <c r="K101" s="17" t="s">
        <v>420</v>
      </c>
      <c r="L101" s="16" t="s">
        <v>34</v>
      </c>
      <c r="M101" s="16" t="s">
        <v>134</v>
      </c>
      <c r="N101" s="16" t="s">
        <v>71</v>
      </c>
      <c r="O101" s="15">
        <v>117872</v>
      </c>
      <c r="P101" s="15">
        <v>115800</v>
      </c>
      <c r="Q101" s="15" t="s">
        <v>37</v>
      </c>
      <c r="R101" s="30" t="s">
        <v>442</v>
      </c>
      <c r="S101" s="30" t="s">
        <v>443</v>
      </c>
      <c r="T101" s="15" t="s">
        <v>423</v>
      </c>
      <c r="U101" s="15">
        <v>1</v>
      </c>
      <c r="V101" s="15">
        <v>0</v>
      </c>
      <c r="W101" s="15">
        <f>U101+V101</f>
        <v>1</v>
      </c>
      <c r="X101" s="16">
        <v>2567</v>
      </c>
      <c r="Y101" s="15" t="s">
        <v>59</v>
      </c>
    </row>
    <row r="102" spans="1:26" ht="25.5" x14ac:dyDescent="0.2">
      <c r="A102" s="13">
        <v>99</v>
      </c>
      <c r="B102" s="13" t="s">
        <v>415</v>
      </c>
      <c r="C102" s="13" t="s">
        <v>416</v>
      </c>
      <c r="D102" s="13" t="s">
        <v>28</v>
      </c>
      <c r="E102" s="13" t="s">
        <v>444</v>
      </c>
      <c r="F102" s="14" t="s">
        <v>445</v>
      </c>
      <c r="G102" s="15">
        <v>9.68</v>
      </c>
      <c r="H102" s="16" t="s">
        <v>419</v>
      </c>
      <c r="I102" s="16">
        <v>2569</v>
      </c>
      <c r="J102" s="17"/>
      <c r="K102" s="17" t="s">
        <v>420</v>
      </c>
      <c r="L102" s="16" t="s">
        <v>34</v>
      </c>
      <c r="M102" s="16" t="s">
        <v>35</v>
      </c>
      <c r="N102" s="16" t="s">
        <v>36</v>
      </c>
      <c r="O102" s="15">
        <v>391020</v>
      </c>
      <c r="P102" s="15">
        <v>231600</v>
      </c>
      <c r="Q102" s="15" t="s">
        <v>787</v>
      </c>
      <c r="R102" s="30" t="s">
        <v>446</v>
      </c>
      <c r="S102" s="30" t="s">
        <v>815</v>
      </c>
      <c r="T102" s="15" t="s">
        <v>40</v>
      </c>
      <c r="U102" s="15">
        <v>2</v>
      </c>
      <c r="V102" s="15">
        <v>0</v>
      </c>
      <c r="W102" s="15">
        <f t="shared" si="1"/>
        <v>2</v>
      </c>
      <c r="X102" s="16">
        <v>2569</v>
      </c>
      <c r="Y102" s="15" t="s">
        <v>47</v>
      </c>
    </row>
    <row r="103" spans="1:26" x14ac:dyDescent="0.2">
      <c r="A103" s="13">
        <v>100</v>
      </c>
      <c r="B103" s="13" t="s">
        <v>415</v>
      </c>
      <c r="C103" s="13" t="s">
        <v>448</v>
      </c>
      <c r="D103" s="13" t="s">
        <v>28</v>
      </c>
      <c r="E103" s="23" t="s">
        <v>449</v>
      </c>
      <c r="F103" s="14" t="s">
        <v>450</v>
      </c>
      <c r="G103" s="15">
        <v>10</v>
      </c>
      <c r="H103" s="16" t="s">
        <v>419</v>
      </c>
      <c r="I103" s="16">
        <v>2569</v>
      </c>
      <c r="J103" s="17"/>
      <c r="K103" s="17" t="s">
        <v>420</v>
      </c>
      <c r="L103" s="16" t="s">
        <v>34</v>
      </c>
      <c r="M103" s="16" t="s">
        <v>134</v>
      </c>
      <c r="N103" s="16" t="s">
        <v>71</v>
      </c>
      <c r="O103" s="15">
        <v>46550</v>
      </c>
      <c r="P103" s="15">
        <v>57900</v>
      </c>
      <c r="Q103" s="15" t="s">
        <v>787</v>
      </c>
      <c r="R103" s="30" t="s">
        <v>451</v>
      </c>
      <c r="S103" s="30" t="s">
        <v>452</v>
      </c>
      <c r="T103" s="15" t="s">
        <v>453</v>
      </c>
      <c r="U103" s="15">
        <v>0.5</v>
      </c>
      <c r="V103" s="15">
        <v>0.2</v>
      </c>
      <c r="W103" s="15">
        <f t="shared" si="1"/>
        <v>0.7</v>
      </c>
      <c r="X103" s="16">
        <v>2569</v>
      </c>
      <c r="Y103" s="15" t="s">
        <v>47</v>
      </c>
    </row>
    <row r="104" spans="1:26" ht="25.5" x14ac:dyDescent="0.2">
      <c r="A104" s="13">
        <v>101</v>
      </c>
      <c r="B104" s="13" t="s">
        <v>415</v>
      </c>
      <c r="C104" s="13" t="s">
        <v>439</v>
      </c>
      <c r="D104" s="13" t="s">
        <v>28</v>
      </c>
      <c r="E104" s="13" t="s">
        <v>454</v>
      </c>
      <c r="F104" s="14" t="s">
        <v>455</v>
      </c>
      <c r="G104" s="15">
        <v>9.6</v>
      </c>
      <c r="H104" s="16" t="s">
        <v>427</v>
      </c>
      <c r="I104" s="16">
        <v>2569</v>
      </c>
      <c r="J104" s="17"/>
      <c r="K104" s="17" t="s">
        <v>420</v>
      </c>
      <c r="L104" s="15" t="s">
        <v>69</v>
      </c>
      <c r="M104" s="16" t="s">
        <v>70</v>
      </c>
      <c r="N104" s="16" t="s">
        <v>71</v>
      </c>
      <c r="O104" s="15">
        <v>0</v>
      </c>
      <c r="P104" s="15">
        <v>0</v>
      </c>
      <c r="Q104" s="15" t="s">
        <v>69</v>
      </c>
      <c r="R104" s="30" t="s">
        <v>456</v>
      </c>
      <c r="S104" s="30" t="s">
        <v>457</v>
      </c>
      <c r="T104" s="15" t="s">
        <v>69</v>
      </c>
      <c r="U104" s="15">
        <v>0</v>
      </c>
      <c r="V104" s="15">
        <v>0</v>
      </c>
      <c r="W104" s="15">
        <f t="shared" si="1"/>
        <v>0</v>
      </c>
      <c r="X104" s="16" t="s">
        <v>69</v>
      </c>
      <c r="Y104" s="15" t="s">
        <v>69</v>
      </c>
    </row>
    <row r="105" spans="1:26" ht="25.5" x14ac:dyDescent="0.2">
      <c r="A105" s="13">
        <v>102</v>
      </c>
      <c r="B105" s="13" t="s">
        <v>415</v>
      </c>
      <c r="C105" s="13" t="s">
        <v>458</v>
      </c>
      <c r="D105" s="13" t="s">
        <v>48</v>
      </c>
      <c r="E105" s="13" t="s">
        <v>459</v>
      </c>
      <c r="F105" s="14" t="s">
        <v>460</v>
      </c>
      <c r="G105" s="15">
        <v>3.44</v>
      </c>
      <c r="H105" s="16" t="s">
        <v>461</v>
      </c>
      <c r="I105" s="16">
        <v>2569</v>
      </c>
      <c r="J105" s="17"/>
      <c r="K105" s="17" t="s">
        <v>462</v>
      </c>
      <c r="L105" s="16" t="s">
        <v>34</v>
      </c>
      <c r="M105" s="16" t="s">
        <v>134</v>
      </c>
      <c r="N105" s="16" t="s">
        <v>71</v>
      </c>
      <c r="O105" s="15">
        <v>489292</v>
      </c>
      <c r="P105" s="15">
        <v>138960</v>
      </c>
      <c r="Q105" s="15" t="s">
        <v>37</v>
      </c>
      <c r="R105" s="30" t="s">
        <v>463</v>
      </c>
      <c r="S105" s="30" t="s">
        <v>464</v>
      </c>
      <c r="T105" s="69" t="s">
        <v>40</v>
      </c>
      <c r="U105" s="69">
        <v>1.2</v>
      </c>
      <c r="V105" s="69">
        <v>2</v>
      </c>
      <c r="W105" s="15">
        <f t="shared" si="1"/>
        <v>3.2</v>
      </c>
      <c r="X105" s="68">
        <v>2568</v>
      </c>
      <c r="Y105" s="69" t="s">
        <v>59</v>
      </c>
    </row>
    <row r="106" spans="1:26" x14ac:dyDescent="0.2">
      <c r="A106" s="13">
        <v>103</v>
      </c>
      <c r="B106" s="13" t="s">
        <v>415</v>
      </c>
      <c r="C106" s="13" t="s">
        <v>465</v>
      </c>
      <c r="D106" s="13" t="s">
        <v>28</v>
      </c>
      <c r="E106" s="13" t="s">
        <v>466</v>
      </c>
      <c r="F106" s="14" t="s">
        <v>467</v>
      </c>
      <c r="G106" s="15">
        <v>0.8</v>
      </c>
      <c r="H106" s="16" t="s">
        <v>468</v>
      </c>
      <c r="I106" s="16">
        <v>2569</v>
      </c>
      <c r="J106" s="17"/>
      <c r="K106" s="17" t="s">
        <v>462</v>
      </c>
      <c r="L106" s="16" t="s">
        <v>34</v>
      </c>
      <c r="M106" s="16" t="s">
        <v>134</v>
      </c>
      <c r="N106" s="16" t="s">
        <v>71</v>
      </c>
      <c r="O106" s="15">
        <v>219178</v>
      </c>
      <c r="P106" s="15">
        <v>69480</v>
      </c>
      <c r="Q106" s="15" t="s">
        <v>37</v>
      </c>
      <c r="R106" s="30" t="s">
        <v>774</v>
      </c>
      <c r="S106" s="30" t="s">
        <v>775</v>
      </c>
      <c r="T106" s="69" t="s">
        <v>40</v>
      </c>
      <c r="U106" s="69">
        <v>0.6</v>
      </c>
      <c r="V106" s="69">
        <v>0.8</v>
      </c>
      <c r="W106" s="15">
        <f t="shared" si="1"/>
        <v>1.4</v>
      </c>
      <c r="X106" s="68">
        <v>2568</v>
      </c>
      <c r="Y106" s="69" t="s">
        <v>59</v>
      </c>
    </row>
    <row r="107" spans="1:26" x14ac:dyDescent="0.2">
      <c r="A107" s="13">
        <v>104</v>
      </c>
      <c r="B107" s="13" t="s">
        <v>415</v>
      </c>
      <c r="C107" s="13" t="s">
        <v>416</v>
      </c>
      <c r="D107" s="13" t="s">
        <v>28</v>
      </c>
      <c r="E107" s="13" t="s">
        <v>469</v>
      </c>
      <c r="F107" s="14" t="s">
        <v>470</v>
      </c>
      <c r="G107" s="15">
        <v>6.4</v>
      </c>
      <c r="H107" s="16" t="s">
        <v>419</v>
      </c>
      <c r="I107" s="16">
        <v>2569</v>
      </c>
      <c r="J107" s="17"/>
      <c r="K107" s="17" t="s">
        <v>462</v>
      </c>
      <c r="L107" s="16" t="s">
        <v>34</v>
      </c>
      <c r="M107" s="16" t="s">
        <v>134</v>
      </c>
      <c r="N107" s="16" t="s">
        <v>71</v>
      </c>
      <c r="O107" s="15">
        <v>35000</v>
      </c>
      <c r="P107" s="15">
        <v>288000</v>
      </c>
      <c r="Q107" s="15" t="s">
        <v>787</v>
      </c>
      <c r="R107" s="30" t="s">
        <v>471</v>
      </c>
      <c r="S107" s="30" t="s">
        <v>472</v>
      </c>
      <c r="T107" s="15" t="s">
        <v>473</v>
      </c>
      <c r="U107" s="15">
        <v>0</v>
      </c>
      <c r="V107" s="15">
        <v>0</v>
      </c>
      <c r="W107" s="15">
        <f t="shared" si="1"/>
        <v>0</v>
      </c>
      <c r="X107" s="16">
        <v>2569</v>
      </c>
      <c r="Y107" s="15" t="s">
        <v>41</v>
      </c>
      <c r="Z107" s="1" t="s">
        <v>473</v>
      </c>
    </row>
    <row r="108" spans="1:26" ht="25.5" x14ac:dyDescent="0.2">
      <c r="A108" s="13">
        <v>105</v>
      </c>
      <c r="B108" s="13" t="s">
        <v>415</v>
      </c>
      <c r="C108" s="13" t="s">
        <v>474</v>
      </c>
      <c r="D108" s="13" t="s">
        <v>28</v>
      </c>
      <c r="E108" s="13" t="s">
        <v>475</v>
      </c>
      <c r="F108" s="14" t="s">
        <v>476</v>
      </c>
      <c r="G108" s="15">
        <v>1.6</v>
      </c>
      <c r="H108" s="16" t="s">
        <v>477</v>
      </c>
      <c r="I108" s="16">
        <v>2569</v>
      </c>
      <c r="J108" s="17"/>
      <c r="K108" s="17" t="s">
        <v>462</v>
      </c>
      <c r="L108" s="16" t="s">
        <v>90</v>
      </c>
      <c r="M108" s="16" t="s">
        <v>134</v>
      </c>
      <c r="N108" s="16" t="s">
        <v>71</v>
      </c>
      <c r="O108" s="15">
        <v>258470</v>
      </c>
      <c r="P108" s="15">
        <v>57900</v>
      </c>
      <c r="Q108" s="15" t="s">
        <v>787</v>
      </c>
      <c r="R108" s="30" t="s">
        <v>820</v>
      </c>
      <c r="S108" s="30" t="s">
        <v>479</v>
      </c>
      <c r="T108" s="15" t="s">
        <v>453</v>
      </c>
      <c r="U108" s="15">
        <v>0.5</v>
      </c>
      <c r="V108" s="15">
        <v>5</v>
      </c>
      <c r="W108" s="15">
        <f t="shared" si="1"/>
        <v>5.5</v>
      </c>
      <c r="X108" s="16">
        <v>2569</v>
      </c>
      <c r="Y108" s="15" t="s">
        <v>41</v>
      </c>
    </row>
    <row r="109" spans="1:26" ht="25.5" x14ac:dyDescent="0.2">
      <c r="A109" s="13">
        <v>106</v>
      </c>
      <c r="B109" s="13" t="s">
        <v>415</v>
      </c>
      <c r="C109" s="13" t="s">
        <v>439</v>
      </c>
      <c r="D109" s="13" t="s">
        <v>28</v>
      </c>
      <c r="E109" s="13" t="s">
        <v>480</v>
      </c>
      <c r="F109" s="14" t="s">
        <v>481</v>
      </c>
      <c r="G109" s="15">
        <v>5.26</v>
      </c>
      <c r="H109" s="16" t="s">
        <v>427</v>
      </c>
      <c r="I109" s="16">
        <v>2569</v>
      </c>
      <c r="J109" s="17"/>
      <c r="K109" s="17" t="s">
        <v>462</v>
      </c>
      <c r="L109" s="16" t="s">
        <v>34</v>
      </c>
      <c r="M109" s="16" t="s">
        <v>134</v>
      </c>
      <c r="N109" s="16" t="s">
        <v>71</v>
      </c>
      <c r="O109" s="15">
        <v>176808</v>
      </c>
      <c r="P109" s="15">
        <v>173700</v>
      </c>
      <c r="Q109" s="15" t="s">
        <v>37</v>
      </c>
      <c r="R109" s="30" t="s">
        <v>482</v>
      </c>
      <c r="S109" s="30" t="s">
        <v>483</v>
      </c>
      <c r="T109" s="15" t="s">
        <v>53</v>
      </c>
      <c r="U109" s="15">
        <v>1.5</v>
      </c>
      <c r="V109" s="15">
        <v>0</v>
      </c>
      <c r="W109" s="15">
        <f t="shared" si="1"/>
        <v>1.5</v>
      </c>
      <c r="X109" s="16">
        <v>2567</v>
      </c>
      <c r="Y109" s="15" t="s">
        <v>59</v>
      </c>
    </row>
    <row r="110" spans="1:26" ht="25.5" x14ac:dyDescent="0.2">
      <c r="A110" s="13">
        <v>107</v>
      </c>
      <c r="B110" s="13" t="s">
        <v>415</v>
      </c>
      <c r="C110" s="13" t="s">
        <v>465</v>
      </c>
      <c r="D110" s="13" t="s">
        <v>28</v>
      </c>
      <c r="E110" s="13" t="s">
        <v>484</v>
      </c>
      <c r="F110" s="14" t="s">
        <v>485</v>
      </c>
      <c r="G110" s="15">
        <v>1.6</v>
      </c>
      <c r="H110" s="16" t="s">
        <v>468</v>
      </c>
      <c r="I110" s="16">
        <v>2569</v>
      </c>
      <c r="J110" s="17"/>
      <c r="K110" s="17" t="s">
        <v>462</v>
      </c>
      <c r="L110" s="16" t="s">
        <v>34</v>
      </c>
      <c r="M110" s="16" t="s">
        <v>134</v>
      </c>
      <c r="N110" s="16" t="s">
        <v>71</v>
      </c>
      <c r="O110" s="15">
        <v>297382</v>
      </c>
      <c r="P110" s="15">
        <v>115800</v>
      </c>
      <c r="Q110" s="15" t="s">
        <v>37</v>
      </c>
      <c r="R110" s="30" t="s">
        <v>486</v>
      </c>
      <c r="S110" s="30" t="s">
        <v>487</v>
      </c>
      <c r="T110" s="69" t="s">
        <v>40</v>
      </c>
      <c r="U110" s="69">
        <v>1</v>
      </c>
      <c r="V110" s="69">
        <v>0.8</v>
      </c>
      <c r="W110" s="15">
        <f t="shared" si="1"/>
        <v>1.8</v>
      </c>
      <c r="X110" s="68">
        <v>2568</v>
      </c>
      <c r="Y110" s="69" t="s">
        <v>59</v>
      </c>
    </row>
    <row r="111" spans="1:26" x14ac:dyDescent="0.2">
      <c r="A111" s="13">
        <v>108</v>
      </c>
      <c r="B111" s="13" t="s">
        <v>415</v>
      </c>
      <c r="C111" s="13" t="s">
        <v>458</v>
      </c>
      <c r="D111" s="13" t="s">
        <v>48</v>
      </c>
      <c r="E111" s="13" t="s">
        <v>488</v>
      </c>
      <c r="F111" s="14" t="s">
        <v>489</v>
      </c>
      <c r="G111" s="15">
        <v>2.6</v>
      </c>
      <c r="H111" s="16" t="s">
        <v>461</v>
      </c>
      <c r="I111" s="16">
        <v>2569</v>
      </c>
      <c r="J111" s="17"/>
      <c r="K111" s="17" t="s">
        <v>462</v>
      </c>
      <c r="L111" s="16" t="s">
        <v>90</v>
      </c>
      <c r="M111" s="16" t="s">
        <v>35</v>
      </c>
      <c r="N111" s="16" t="s">
        <v>71</v>
      </c>
      <c r="O111" s="15">
        <v>995826</v>
      </c>
      <c r="P111" s="15">
        <v>254760</v>
      </c>
      <c r="Q111" s="15" t="s">
        <v>37</v>
      </c>
      <c r="R111" s="30" t="s">
        <v>490</v>
      </c>
      <c r="S111" s="30" t="s">
        <v>491</v>
      </c>
      <c r="T111" s="15" t="s">
        <v>185</v>
      </c>
      <c r="U111" s="15">
        <v>2.2000000000000002</v>
      </c>
      <c r="V111" s="15">
        <v>1.8</v>
      </c>
      <c r="W111" s="15">
        <f t="shared" si="1"/>
        <v>4</v>
      </c>
      <c r="X111" s="16">
        <v>2569</v>
      </c>
      <c r="Y111" s="15" t="s">
        <v>59</v>
      </c>
    </row>
    <row r="112" spans="1:26" ht="25.5" x14ac:dyDescent="0.2">
      <c r="A112" s="13">
        <v>109</v>
      </c>
      <c r="B112" s="13" t="s">
        <v>415</v>
      </c>
      <c r="C112" s="13" t="s">
        <v>492</v>
      </c>
      <c r="D112" s="13" t="s">
        <v>28</v>
      </c>
      <c r="E112" s="13" t="s">
        <v>493</v>
      </c>
      <c r="F112" s="14" t="s">
        <v>494</v>
      </c>
      <c r="G112" s="15">
        <v>1.2</v>
      </c>
      <c r="H112" s="16" t="s">
        <v>495</v>
      </c>
      <c r="I112" s="16">
        <v>2569</v>
      </c>
      <c r="J112" s="17"/>
      <c r="K112" s="17" t="s">
        <v>462</v>
      </c>
      <c r="L112" s="16" t="s">
        <v>90</v>
      </c>
      <c r="M112" s="16" t="s">
        <v>134</v>
      </c>
      <c r="N112" s="16" t="s">
        <v>71</v>
      </c>
      <c r="O112" s="15">
        <v>136857</v>
      </c>
      <c r="P112" s="15">
        <v>81060</v>
      </c>
      <c r="Q112" s="15" t="s">
        <v>37</v>
      </c>
      <c r="R112" s="31" t="s">
        <v>814</v>
      </c>
      <c r="S112" s="31" t="s">
        <v>813</v>
      </c>
      <c r="T112" s="15" t="s">
        <v>40</v>
      </c>
      <c r="U112" s="15">
        <v>0.7</v>
      </c>
      <c r="V112" s="15">
        <v>0</v>
      </c>
      <c r="W112" s="15">
        <f t="shared" si="1"/>
        <v>0.7</v>
      </c>
      <c r="X112" s="16">
        <v>2568</v>
      </c>
      <c r="Y112" s="15" t="s">
        <v>47</v>
      </c>
    </row>
    <row r="113" spans="1:26" ht="51" x14ac:dyDescent="0.2">
      <c r="A113" s="13">
        <v>110</v>
      </c>
      <c r="B113" s="13" t="s">
        <v>415</v>
      </c>
      <c r="C113" s="13" t="s">
        <v>498</v>
      </c>
      <c r="D113" s="13" t="s">
        <v>28</v>
      </c>
      <c r="E113" s="13" t="s">
        <v>499</v>
      </c>
      <c r="F113" s="14" t="s">
        <v>500</v>
      </c>
      <c r="G113" s="15">
        <v>2.2000000000000002</v>
      </c>
      <c r="H113" s="16" t="s">
        <v>419</v>
      </c>
      <c r="I113" s="16">
        <v>2569</v>
      </c>
      <c r="J113" s="17"/>
      <c r="K113" s="17" t="s">
        <v>462</v>
      </c>
      <c r="L113" s="16" t="s">
        <v>34</v>
      </c>
      <c r="M113" s="16" t="s">
        <v>134</v>
      </c>
      <c r="N113" s="16" t="s">
        <v>71</v>
      </c>
      <c r="O113" s="15">
        <v>59238</v>
      </c>
      <c r="P113" s="15">
        <v>23160</v>
      </c>
      <c r="Q113" s="15" t="s">
        <v>37</v>
      </c>
      <c r="R113" s="30" t="s">
        <v>501</v>
      </c>
      <c r="S113" s="30" t="s">
        <v>502</v>
      </c>
      <c r="T113" s="15" t="s">
        <v>453</v>
      </c>
      <c r="U113" s="15">
        <v>0.2</v>
      </c>
      <c r="V113" s="15">
        <v>1</v>
      </c>
      <c r="W113" s="15">
        <f t="shared" si="1"/>
        <v>1.2</v>
      </c>
      <c r="X113" s="16">
        <v>2568</v>
      </c>
      <c r="Y113" s="15" t="s">
        <v>41</v>
      </c>
    </row>
    <row r="114" spans="1:26" ht="38.25" x14ac:dyDescent="0.2">
      <c r="A114" s="13">
        <v>111</v>
      </c>
      <c r="B114" s="13" t="s">
        <v>415</v>
      </c>
      <c r="C114" s="13" t="s">
        <v>503</v>
      </c>
      <c r="D114" s="13" t="s">
        <v>28</v>
      </c>
      <c r="E114" s="13" t="s">
        <v>504</v>
      </c>
      <c r="F114" s="14" t="s">
        <v>505</v>
      </c>
      <c r="G114" s="15">
        <v>2.4</v>
      </c>
      <c r="H114" s="16" t="s">
        <v>506</v>
      </c>
      <c r="I114" s="16">
        <v>2569</v>
      </c>
      <c r="J114" s="17"/>
      <c r="K114" s="17" t="s">
        <v>462</v>
      </c>
      <c r="L114" s="16" t="s">
        <v>133</v>
      </c>
      <c r="M114" s="16" t="s">
        <v>35</v>
      </c>
      <c r="N114" s="16" t="s">
        <v>71</v>
      </c>
      <c r="O114" s="15">
        <v>318148</v>
      </c>
      <c r="P114" s="15">
        <v>173700</v>
      </c>
      <c r="Q114" s="15" t="s">
        <v>787</v>
      </c>
      <c r="R114" s="30" t="s">
        <v>507</v>
      </c>
      <c r="S114" s="30" t="s">
        <v>508</v>
      </c>
      <c r="T114" s="15" t="s">
        <v>53</v>
      </c>
      <c r="U114" s="15">
        <v>1.5</v>
      </c>
      <c r="V114" s="15">
        <v>2</v>
      </c>
      <c r="W114" s="15">
        <f t="shared" si="1"/>
        <v>3.5</v>
      </c>
      <c r="X114" s="16">
        <v>2569</v>
      </c>
      <c r="Y114" s="15" t="s">
        <v>47</v>
      </c>
    </row>
    <row r="115" spans="1:26" ht="25.5" x14ac:dyDescent="0.2">
      <c r="A115" s="13">
        <v>112</v>
      </c>
      <c r="B115" s="13" t="s">
        <v>415</v>
      </c>
      <c r="C115" s="13" t="s">
        <v>509</v>
      </c>
      <c r="D115" s="13" t="s">
        <v>28</v>
      </c>
      <c r="E115" s="13" t="s">
        <v>510</v>
      </c>
      <c r="F115" s="14" t="s">
        <v>511</v>
      </c>
      <c r="G115" s="15">
        <v>1.5</v>
      </c>
      <c r="H115" s="16" t="s">
        <v>512</v>
      </c>
      <c r="I115" s="16">
        <v>2569</v>
      </c>
      <c r="J115" s="17"/>
      <c r="K115" s="17" t="s">
        <v>462</v>
      </c>
      <c r="L115" s="16" t="s">
        <v>34</v>
      </c>
      <c r="M115" s="16" t="s">
        <v>134</v>
      </c>
      <c r="N115" s="16" t="s">
        <v>71</v>
      </c>
      <c r="O115" s="15">
        <v>118476</v>
      </c>
      <c r="P115" s="15">
        <v>46320</v>
      </c>
      <c r="Q115" s="15" t="s">
        <v>37</v>
      </c>
      <c r="R115" s="30" t="s">
        <v>513</v>
      </c>
      <c r="S115" s="30" t="s">
        <v>514</v>
      </c>
      <c r="T115" s="15" t="s">
        <v>453</v>
      </c>
      <c r="U115" s="15">
        <v>0.4</v>
      </c>
      <c r="V115" s="15">
        <v>2</v>
      </c>
      <c r="W115" s="15">
        <f t="shared" si="1"/>
        <v>2.4</v>
      </c>
      <c r="X115" s="16">
        <v>2568</v>
      </c>
      <c r="Y115" s="15" t="s">
        <v>47</v>
      </c>
    </row>
    <row r="116" spans="1:26" x14ac:dyDescent="0.2">
      <c r="A116" s="13">
        <v>113</v>
      </c>
      <c r="B116" s="13" t="s">
        <v>415</v>
      </c>
      <c r="C116" s="13" t="s">
        <v>515</v>
      </c>
      <c r="D116" s="13" t="s">
        <v>28</v>
      </c>
      <c r="E116" s="13" t="s">
        <v>516</v>
      </c>
      <c r="F116" s="14" t="s">
        <v>517</v>
      </c>
      <c r="G116" s="15">
        <v>2</v>
      </c>
      <c r="H116" s="16" t="s">
        <v>477</v>
      </c>
      <c r="I116" s="16">
        <v>2569</v>
      </c>
      <c r="J116" s="17"/>
      <c r="K116" s="17" t="s">
        <v>462</v>
      </c>
      <c r="L116" s="16" t="s">
        <v>133</v>
      </c>
      <c r="M116" s="16" t="s">
        <v>134</v>
      </c>
      <c r="N116" s="16" t="s">
        <v>71</v>
      </c>
      <c r="O116" s="15">
        <v>22632</v>
      </c>
      <c r="P116" s="15">
        <v>34740</v>
      </c>
      <c r="Q116" s="15" t="s">
        <v>787</v>
      </c>
      <c r="R116" s="30" t="s">
        <v>518</v>
      </c>
      <c r="S116" s="30" t="s">
        <v>519</v>
      </c>
      <c r="T116" s="15" t="s">
        <v>453</v>
      </c>
      <c r="U116" s="15">
        <v>0.3</v>
      </c>
      <c r="V116" s="15">
        <v>0</v>
      </c>
      <c r="W116" s="15">
        <f t="shared" si="1"/>
        <v>0.3</v>
      </c>
      <c r="X116" s="16">
        <v>2569</v>
      </c>
      <c r="Y116" s="15" t="s">
        <v>47</v>
      </c>
    </row>
    <row r="117" spans="1:26" ht="25.5" x14ac:dyDescent="0.2">
      <c r="A117" s="13">
        <v>114</v>
      </c>
      <c r="B117" s="13" t="s">
        <v>415</v>
      </c>
      <c r="C117" s="13" t="s">
        <v>416</v>
      </c>
      <c r="D117" s="13" t="s">
        <v>28</v>
      </c>
      <c r="E117" s="13" t="s">
        <v>520</v>
      </c>
      <c r="F117" s="14" t="s">
        <v>521</v>
      </c>
      <c r="G117" s="15">
        <v>6.9</v>
      </c>
      <c r="H117" s="16" t="s">
        <v>419</v>
      </c>
      <c r="I117" s="16">
        <v>2569</v>
      </c>
      <c r="J117" s="17"/>
      <c r="K117" s="17" t="s">
        <v>462</v>
      </c>
      <c r="L117" s="16" t="s">
        <v>34</v>
      </c>
      <c r="M117" s="16" t="s">
        <v>134</v>
      </c>
      <c r="N117" s="16" t="s">
        <v>71</v>
      </c>
      <c r="O117" s="15">
        <v>35000</v>
      </c>
      <c r="P117" s="15">
        <v>288000</v>
      </c>
      <c r="Q117" s="15" t="s">
        <v>787</v>
      </c>
      <c r="R117" s="30" t="s">
        <v>816</v>
      </c>
      <c r="S117" s="30" t="s">
        <v>523</v>
      </c>
      <c r="T117" s="15" t="s">
        <v>473</v>
      </c>
      <c r="U117" s="15">
        <v>0</v>
      </c>
      <c r="V117" s="15">
        <v>0</v>
      </c>
      <c r="W117" s="15">
        <f t="shared" si="1"/>
        <v>0</v>
      </c>
      <c r="X117" s="16">
        <v>2569</v>
      </c>
      <c r="Y117" s="15" t="s">
        <v>41</v>
      </c>
      <c r="Z117" s="1" t="s">
        <v>473</v>
      </c>
    </row>
    <row r="118" spans="1:26" ht="38.25" x14ac:dyDescent="0.2">
      <c r="A118" s="13">
        <v>115</v>
      </c>
      <c r="B118" s="13" t="s">
        <v>415</v>
      </c>
      <c r="C118" s="13" t="s">
        <v>524</v>
      </c>
      <c r="D118" s="13" t="s">
        <v>28</v>
      </c>
      <c r="E118" s="13" t="s">
        <v>525</v>
      </c>
      <c r="F118" s="14" t="s">
        <v>526</v>
      </c>
      <c r="G118" s="15">
        <v>2.2000000000000002</v>
      </c>
      <c r="H118" s="16" t="s">
        <v>527</v>
      </c>
      <c r="I118" s="16">
        <v>2569</v>
      </c>
      <c r="J118" s="17"/>
      <c r="K118" s="17" t="s">
        <v>462</v>
      </c>
      <c r="L118" s="16" t="s">
        <v>34</v>
      </c>
      <c r="M118" s="16" t="s">
        <v>134</v>
      </c>
      <c r="N118" s="16" t="s">
        <v>71</v>
      </c>
      <c r="O118" s="15">
        <v>200276</v>
      </c>
      <c r="P118" s="15">
        <v>57900</v>
      </c>
      <c r="Q118" s="15" t="s">
        <v>37</v>
      </c>
      <c r="R118" s="30" t="s">
        <v>528</v>
      </c>
      <c r="S118" s="30" t="s">
        <v>529</v>
      </c>
      <c r="T118" s="15" t="s">
        <v>423</v>
      </c>
      <c r="U118" s="15">
        <v>0.5</v>
      </c>
      <c r="V118" s="15">
        <v>2</v>
      </c>
      <c r="W118" s="15">
        <f t="shared" si="1"/>
        <v>2.5</v>
      </c>
      <c r="X118" s="16">
        <v>2568</v>
      </c>
      <c r="Y118" s="15" t="s">
        <v>59</v>
      </c>
    </row>
    <row r="119" spans="1:26" ht="38.25" x14ac:dyDescent="0.2">
      <c r="A119" s="13">
        <v>116</v>
      </c>
      <c r="B119" s="13" t="s">
        <v>415</v>
      </c>
      <c r="C119" s="13" t="s">
        <v>530</v>
      </c>
      <c r="D119" s="13" t="s">
        <v>28</v>
      </c>
      <c r="E119" s="13" t="s">
        <v>531</v>
      </c>
      <c r="F119" s="14" t="s">
        <v>532</v>
      </c>
      <c r="G119" s="15">
        <v>2.6</v>
      </c>
      <c r="H119" s="16" t="s">
        <v>427</v>
      </c>
      <c r="I119" s="16">
        <v>2569</v>
      </c>
      <c r="J119" s="17"/>
      <c r="K119" s="17" t="s">
        <v>462</v>
      </c>
      <c r="L119" s="16" t="s">
        <v>34</v>
      </c>
      <c r="M119" s="16" t="s">
        <v>134</v>
      </c>
      <c r="N119" s="16" t="s">
        <v>71</v>
      </c>
      <c r="O119" s="15">
        <v>150880</v>
      </c>
      <c r="P119" s="15">
        <v>231600</v>
      </c>
      <c r="Q119" s="15" t="s">
        <v>37</v>
      </c>
      <c r="R119" s="30" t="s">
        <v>533</v>
      </c>
      <c r="S119" s="30" t="s">
        <v>534</v>
      </c>
      <c r="T119" s="15" t="s">
        <v>453</v>
      </c>
      <c r="U119" s="15">
        <v>2</v>
      </c>
      <c r="V119" s="15">
        <v>0</v>
      </c>
      <c r="W119" s="15">
        <f t="shared" si="1"/>
        <v>2</v>
      </c>
      <c r="X119" s="16">
        <v>2568</v>
      </c>
      <c r="Y119" s="15" t="s">
        <v>47</v>
      </c>
    </row>
    <row r="120" spans="1:26" x14ac:dyDescent="0.2">
      <c r="A120" s="13">
        <v>117</v>
      </c>
      <c r="B120" s="13" t="s">
        <v>415</v>
      </c>
      <c r="C120" s="13" t="s">
        <v>439</v>
      </c>
      <c r="D120" s="13" t="s">
        <v>28</v>
      </c>
      <c r="E120" s="13" t="s">
        <v>535</v>
      </c>
      <c r="F120" s="14" t="s">
        <v>536</v>
      </c>
      <c r="G120" s="15">
        <v>1.6</v>
      </c>
      <c r="H120" s="16" t="s">
        <v>427</v>
      </c>
      <c r="I120" s="16">
        <v>2569</v>
      </c>
      <c r="J120" s="17"/>
      <c r="K120" s="17" t="s">
        <v>462</v>
      </c>
      <c r="L120" s="16" t="s">
        <v>34</v>
      </c>
      <c r="M120" s="16" t="s">
        <v>134</v>
      </c>
      <c r="N120" s="16" t="s">
        <v>71</v>
      </c>
      <c r="O120" s="15">
        <v>412552</v>
      </c>
      <c r="P120" s="15">
        <v>405300</v>
      </c>
      <c r="Q120" s="15" t="s">
        <v>37</v>
      </c>
      <c r="R120" s="30" t="s">
        <v>537</v>
      </c>
      <c r="S120" s="30" t="s">
        <v>538</v>
      </c>
      <c r="T120" s="15" t="s">
        <v>423</v>
      </c>
      <c r="U120" s="15">
        <v>3.5</v>
      </c>
      <c r="V120" s="15">
        <v>0</v>
      </c>
      <c r="W120" s="15">
        <v>1</v>
      </c>
      <c r="X120" s="16">
        <v>2567</v>
      </c>
      <c r="Y120" s="15" t="s">
        <v>59</v>
      </c>
    </row>
    <row r="121" spans="1:26" ht="25.5" x14ac:dyDescent="0.2">
      <c r="A121" s="13">
        <v>118</v>
      </c>
      <c r="B121" s="13" t="s">
        <v>415</v>
      </c>
      <c r="C121" s="13" t="s">
        <v>539</v>
      </c>
      <c r="D121" s="13" t="s">
        <v>28</v>
      </c>
      <c r="E121" s="13" t="s">
        <v>540</v>
      </c>
      <c r="F121" s="14" t="s">
        <v>541</v>
      </c>
      <c r="G121" s="15">
        <v>2.8</v>
      </c>
      <c r="H121" s="16" t="s">
        <v>468</v>
      </c>
      <c r="I121" s="16">
        <v>2569</v>
      </c>
      <c r="J121" s="17"/>
      <c r="K121" s="17" t="s">
        <v>462</v>
      </c>
      <c r="L121" s="16" t="s">
        <v>34</v>
      </c>
      <c r="M121" s="16" t="s">
        <v>35</v>
      </c>
      <c r="N121" s="16" t="s">
        <v>71</v>
      </c>
      <c r="O121" s="15">
        <v>370096.8</v>
      </c>
      <c r="P121" s="15">
        <v>335820</v>
      </c>
      <c r="Q121" s="15" t="s">
        <v>37</v>
      </c>
      <c r="R121" s="30" t="s">
        <v>825</v>
      </c>
      <c r="S121" s="30" t="s">
        <v>543</v>
      </c>
      <c r="T121" s="69" t="s">
        <v>53</v>
      </c>
      <c r="U121" s="69">
        <v>2.9</v>
      </c>
      <c r="V121" s="69">
        <v>0.4</v>
      </c>
      <c r="W121" s="15">
        <f t="shared" si="1"/>
        <v>3.3</v>
      </c>
      <c r="X121" s="68">
        <v>2568</v>
      </c>
      <c r="Y121" s="69" t="s">
        <v>66</v>
      </c>
    </row>
    <row r="122" spans="1:26" x14ac:dyDescent="0.2">
      <c r="A122" s="13">
        <v>119</v>
      </c>
      <c r="B122" s="13" t="s">
        <v>415</v>
      </c>
      <c r="C122" s="13" t="s">
        <v>544</v>
      </c>
      <c r="D122" s="13" t="s">
        <v>28</v>
      </c>
      <c r="E122" s="13" t="s">
        <v>545</v>
      </c>
      <c r="F122" s="14" t="s">
        <v>546</v>
      </c>
      <c r="G122" s="15">
        <v>4.8</v>
      </c>
      <c r="H122" s="16" t="s">
        <v>547</v>
      </c>
      <c r="I122" s="16">
        <v>2569</v>
      </c>
      <c r="J122" s="17"/>
      <c r="K122" s="17" t="s">
        <v>462</v>
      </c>
      <c r="L122" s="16" t="s">
        <v>133</v>
      </c>
      <c r="M122" s="16" t="s">
        <v>35</v>
      </c>
      <c r="N122" s="16" t="s">
        <v>71</v>
      </c>
      <c r="O122" s="15">
        <v>1065788</v>
      </c>
      <c r="P122" s="15">
        <v>555840</v>
      </c>
      <c r="Q122" s="15" t="s">
        <v>787</v>
      </c>
      <c r="R122" s="30" t="s">
        <v>548</v>
      </c>
      <c r="S122" s="30" t="s">
        <v>549</v>
      </c>
      <c r="T122" s="15" t="s">
        <v>40</v>
      </c>
      <c r="U122" s="15">
        <v>4.8</v>
      </c>
      <c r="V122" s="15">
        <v>1</v>
      </c>
      <c r="W122" s="15">
        <f t="shared" si="1"/>
        <v>5.8</v>
      </c>
      <c r="X122" s="16">
        <v>2569</v>
      </c>
      <c r="Y122" s="15" t="s">
        <v>47</v>
      </c>
    </row>
    <row r="123" spans="1:26" x14ac:dyDescent="0.2">
      <c r="A123" s="13">
        <v>120</v>
      </c>
      <c r="B123" s="13" t="s">
        <v>415</v>
      </c>
      <c r="C123" s="13" t="s">
        <v>458</v>
      </c>
      <c r="D123" s="13" t="s">
        <v>28</v>
      </c>
      <c r="E123" s="13" t="s">
        <v>550</v>
      </c>
      <c r="F123" s="14" t="s">
        <v>551</v>
      </c>
      <c r="G123" s="15">
        <v>1.6</v>
      </c>
      <c r="H123" s="16" t="s">
        <v>461</v>
      </c>
      <c r="I123" s="16">
        <v>2569</v>
      </c>
      <c r="J123" s="17"/>
      <c r="K123" s="17" t="s">
        <v>462</v>
      </c>
      <c r="L123" s="16" t="s">
        <v>90</v>
      </c>
      <c r="M123" s="16" t="s">
        <v>134</v>
      </c>
      <c r="N123" s="16" t="s">
        <v>71</v>
      </c>
      <c r="O123" s="15">
        <v>179101.6</v>
      </c>
      <c r="P123" s="15">
        <v>92640</v>
      </c>
      <c r="Q123" s="15" t="s">
        <v>37</v>
      </c>
      <c r="R123" s="30" t="s">
        <v>552</v>
      </c>
      <c r="S123" s="30" t="s">
        <v>553</v>
      </c>
      <c r="T123" s="15" t="s">
        <v>53</v>
      </c>
      <c r="U123" s="69">
        <v>0.8</v>
      </c>
      <c r="V123" s="69">
        <v>1.2</v>
      </c>
      <c r="W123" s="69">
        <f t="shared" si="1"/>
        <v>2</v>
      </c>
      <c r="X123" s="16">
        <v>2569</v>
      </c>
      <c r="Y123" s="15" t="s">
        <v>59</v>
      </c>
    </row>
    <row r="124" spans="1:26" x14ac:dyDescent="0.2">
      <c r="A124" s="13">
        <v>121</v>
      </c>
      <c r="B124" s="13" t="s">
        <v>415</v>
      </c>
      <c r="C124" s="13" t="s">
        <v>503</v>
      </c>
      <c r="D124" s="13" t="s">
        <v>28</v>
      </c>
      <c r="E124" s="13" t="s">
        <v>554</v>
      </c>
      <c r="F124" s="14" t="s">
        <v>555</v>
      </c>
      <c r="G124" s="15">
        <v>3.6</v>
      </c>
      <c r="H124" s="16" t="s">
        <v>506</v>
      </c>
      <c r="I124" s="16">
        <v>2569</v>
      </c>
      <c r="J124" s="17"/>
      <c r="K124" s="17" t="s">
        <v>462</v>
      </c>
      <c r="L124" s="16" t="s">
        <v>34</v>
      </c>
      <c r="M124" s="16" t="s">
        <v>134</v>
      </c>
      <c r="N124" s="16" t="s">
        <v>71</v>
      </c>
      <c r="O124" s="15">
        <v>621132</v>
      </c>
      <c r="P124" s="15">
        <v>254760</v>
      </c>
      <c r="Q124" s="15" t="s">
        <v>37</v>
      </c>
      <c r="R124" s="30" t="s">
        <v>556</v>
      </c>
      <c r="S124" s="30" t="s">
        <v>557</v>
      </c>
      <c r="T124" s="69" t="s">
        <v>40</v>
      </c>
      <c r="U124" s="69">
        <v>2.2000000000000002</v>
      </c>
      <c r="V124" s="69">
        <v>1.5</v>
      </c>
      <c r="W124" s="15">
        <f t="shared" si="1"/>
        <v>3.7</v>
      </c>
      <c r="X124" s="16">
        <v>2569</v>
      </c>
      <c r="Y124" s="15" t="s">
        <v>59</v>
      </c>
      <c r="Z124" s="27" t="s">
        <v>558</v>
      </c>
    </row>
    <row r="125" spans="1:26" ht="25.5" x14ac:dyDescent="0.2">
      <c r="A125" s="13">
        <v>122</v>
      </c>
      <c r="B125" s="13" t="s">
        <v>415</v>
      </c>
      <c r="C125" s="13" t="s">
        <v>559</v>
      </c>
      <c r="D125" s="13" t="s">
        <v>28</v>
      </c>
      <c r="E125" s="13" t="s">
        <v>560</v>
      </c>
      <c r="F125" s="14" t="s">
        <v>561</v>
      </c>
      <c r="G125" s="15">
        <v>2</v>
      </c>
      <c r="H125" s="16" t="s">
        <v>477</v>
      </c>
      <c r="I125" s="16">
        <v>2569</v>
      </c>
      <c r="J125" s="17"/>
      <c r="K125" s="17" t="s">
        <v>462</v>
      </c>
      <c r="L125" s="16" t="s">
        <v>90</v>
      </c>
      <c r="M125" s="16" t="s">
        <v>134</v>
      </c>
      <c r="N125" s="16" t="s">
        <v>71</v>
      </c>
      <c r="O125" s="15">
        <v>285080</v>
      </c>
      <c r="P125" s="15">
        <v>57900</v>
      </c>
      <c r="Q125" s="15" t="s">
        <v>787</v>
      </c>
      <c r="R125" s="30" t="s">
        <v>562</v>
      </c>
      <c r="S125" s="30" t="s">
        <v>563</v>
      </c>
      <c r="T125" s="15" t="s">
        <v>53</v>
      </c>
      <c r="U125" s="15">
        <v>0.5</v>
      </c>
      <c r="V125" s="15">
        <v>3.2</v>
      </c>
      <c r="W125" s="15">
        <f t="shared" si="1"/>
        <v>3.7</v>
      </c>
      <c r="X125" s="16">
        <v>2569</v>
      </c>
      <c r="Y125" s="15" t="s">
        <v>41</v>
      </c>
    </row>
    <row r="126" spans="1:26" ht="25.5" x14ac:dyDescent="0.2">
      <c r="A126" s="13">
        <v>123</v>
      </c>
      <c r="B126" s="13" t="s">
        <v>415</v>
      </c>
      <c r="C126" s="13" t="s">
        <v>564</v>
      </c>
      <c r="D126" s="13" t="s">
        <v>28</v>
      </c>
      <c r="E126" s="13" t="s">
        <v>565</v>
      </c>
      <c r="F126" s="14" t="s">
        <v>566</v>
      </c>
      <c r="G126" s="15">
        <v>10</v>
      </c>
      <c r="H126" s="16" t="s">
        <v>512</v>
      </c>
      <c r="I126" s="16">
        <v>2569</v>
      </c>
      <c r="J126" s="17"/>
      <c r="K126" s="17" t="s">
        <v>462</v>
      </c>
      <c r="L126" s="16" t="s">
        <v>34</v>
      </c>
      <c r="M126" s="16" t="s">
        <v>134</v>
      </c>
      <c r="N126" s="16" t="s">
        <v>71</v>
      </c>
      <c r="O126" s="15">
        <v>247424.8</v>
      </c>
      <c r="P126" s="15">
        <v>104220</v>
      </c>
      <c r="Q126" s="15" t="s">
        <v>37</v>
      </c>
      <c r="R126" s="30" t="s">
        <v>567</v>
      </c>
      <c r="S126" s="30" t="s">
        <v>568</v>
      </c>
      <c r="T126" s="15" t="s">
        <v>53</v>
      </c>
      <c r="U126" s="15">
        <v>0.9</v>
      </c>
      <c r="V126" s="15">
        <v>2</v>
      </c>
      <c r="W126" s="15">
        <f t="shared" si="1"/>
        <v>2.9</v>
      </c>
      <c r="X126" s="16">
        <v>2568</v>
      </c>
      <c r="Y126" s="15" t="s">
        <v>41</v>
      </c>
    </row>
    <row r="127" spans="1:26" ht="38.25" x14ac:dyDescent="0.2">
      <c r="A127" s="13">
        <v>124</v>
      </c>
      <c r="B127" s="13" t="s">
        <v>415</v>
      </c>
      <c r="C127" s="13" t="s">
        <v>569</v>
      </c>
      <c r="D127" s="13" t="s">
        <v>28</v>
      </c>
      <c r="E127" s="13" t="s">
        <v>570</v>
      </c>
      <c r="F127" s="14" t="s">
        <v>571</v>
      </c>
      <c r="G127" s="15">
        <v>2</v>
      </c>
      <c r="H127" s="16" t="s">
        <v>477</v>
      </c>
      <c r="I127" s="16">
        <v>2569</v>
      </c>
      <c r="J127" s="17"/>
      <c r="K127" s="17" t="s">
        <v>462</v>
      </c>
      <c r="L127" s="16" t="s">
        <v>133</v>
      </c>
      <c r="M127" s="16" t="s">
        <v>134</v>
      </c>
      <c r="N127" s="16" t="s">
        <v>71</v>
      </c>
      <c r="O127" s="15">
        <v>977646</v>
      </c>
      <c r="P127" s="15">
        <v>57900</v>
      </c>
      <c r="Q127" s="15" t="s">
        <v>787</v>
      </c>
      <c r="R127" s="30" t="s">
        <v>572</v>
      </c>
      <c r="S127" s="30" t="s">
        <v>573</v>
      </c>
      <c r="T127" s="15" t="s">
        <v>53</v>
      </c>
      <c r="U127" s="15">
        <v>0.5</v>
      </c>
      <c r="V127" s="15">
        <v>13</v>
      </c>
      <c r="W127" s="15">
        <f t="shared" si="1"/>
        <v>13.5</v>
      </c>
      <c r="X127" s="16">
        <v>2569</v>
      </c>
      <c r="Y127" s="15" t="s">
        <v>41</v>
      </c>
    </row>
    <row r="128" spans="1:26" x14ac:dyDescent="0.2">
      <c r="A128" s="13">
        <v>125</v>
      </c>
      <c r="B128" s="13" t="s">
        <v>415</v>
      </c>
      <c r="C128" s="13" t="s">
        <v>503</v>
      </c>
      <c r="D128" s="13" t="s">
        <v>28</v>
      </c>
      <c r="E128" s="13" t="s">
        <v>574</v>
      </c>
      <c r="F128" s="14" t="s">
        <v>575</v>
      </c>
      <c r="G128" s="15">
        <v>3.4</v>
      </c>
      <c r="H128" s="16" t="s">
        <v>506</v>
      </c>
      <c r="I128" s="16">
        <v>2569</v>
      </c>
      <c r="J128" s="17"/>
      <c r="K128" s="17" t="s">
        <v>576</v>
      </c>
      <c r="L128" s="16" t="s">
        <v>133</v>
      </c>
      <c r="M128" s="16" t="s">
        <v>577</v>
      </c>
      <c r="N128" s="16" t="s">
        <v>71</v>
      </c>
      <c r="O128" s="15">
        <v>200276</v>
      </c>
      <c r="P128" s="15">
        <v>57900</v>
      </c>
      <c r="Q128" s="15" t="s">
        <v>787</v>
      </c>
      <c r="R128" s="30" t="s">
        <v>578</v>
      </c>
      <c r="S128" s="30" t="s">
        <v>579</v>
      </c>
      <c r="T128" s="15" t="s">
        <v>53</v>
      </c>
      <c r="U128" s="15">
        <v>0.5</v>
      </c>
      <c r="V128" s="15">
        <v>2</v>
      </c>
      <c r="W128" s="15">
        <f t="shared" si="1"/>
        <v>2.5</v>
      </c>
      <c r="X128" s="16">
        <v>2569</v>
      </c>
      <c r="Y128" s="15" t="s">
        <v>47</v>
      </c>
    </row>
    <row r="129" spans="1:26" x14ac:dyDescent="0.2">
      <c r="A129" s="13">
        <v>126</v>
      </c>
      <c r="B129" s="13" t="s">
        <v>415</v>
      </c>
      <c r="C129" s="13" t="s">
        <v>465</v>
      </c>
      <c r="D129" s="13" t="s">
        <v>28</v>
      </c>
      <c r="E129" s="13" t="s">
        <v>580</v>
      </c>
      <c r="F129" s="14" t="s">
        <v>581</v>
      </c>
      <c r="G129" s="15">
        <v>2</v>
      </c>
      <c r="H129" s="16" t="s">
        <v>468</v>
      </c>
      <c r="I129" s="16">
        <v>2569</v>
      </c>
      <c r="J129" s="17"/>
      <c r="K129" s="17" t="s">
        <v>576</v>
      </c>
      <c r="L129" s="16" t="s">
        <v>133</v>
      </c>
      <c r="M129" s="16" t="s">
        <v>134</v>
      </c>
      <c r="N129" s="16" t="s">
        <v>71</v>
      </c>
      <c r="O129" s="15">
        <v>296482</v>
      </c>
      <c r="P129" s="15">
        <v>92640</v>
      </c>
      <c r="Q129" s="15" t="s">
        <v>787</v>
      </c>
      <c r="R129" s="30" t="s">
        <v>776</v>
      </c>
      <c r="S129" s="30" t="s">
        <v>777</v>
      </c>
      <c r="T129" s="15" t="s">
        <v>40</v>
      </c>
      <c r="U129" s="15">
        <v>0.8</v>
      </c>
      <c r="V129" s="15">
        <v>1.1000000000000001</v>
      </c>
      <c r="W129" s="15">
        <f t="shared" si="1"/>
        <v>1.9000000000000001</v>
      </c>
      <c r="X129" s="16">
        <v>2570</v>
      </c>
      <c r="Y129" s="15" t="s">
        <v>59</v>
      </c>
    </row>
    <row r="130" spans="1:26" x14ac:dyDescent="0.2">
      <c r="A130" s="13">
        <v>127</v>
      </c>
      <c r="B130" s="13" t="s">
        <v>415</v>
      </c>
      <c r="C130" s="13" t="s">
        <v>458</v>
      </c>
      <c r="D130" s="13" t="s">
        <v>28</v>
      </c>
      <c r="E130" s="13" t="s">
        <v>582</v>
      </c>
      <c r="F130" s="14" t="s">
        <v>583</v>
      </c>
      <c r="G130" s="15">
        <v>13.6</v>
      </c>
      <c r="H130" s="16" t="s">
        <v>461</v>
      </c>
      <c r="I130" s="16">
        <v>2569</v>
      </c>
      <c r="J130" s="17"/>
      <c r="K130" s="17" t="s">
        <v>576</v>
      </c>
      <c r="L130" s="16" t="s">
        <v>90</v>
      </c>
      <c r="M130" s="16" t="s">
        <v>134</v>
      </c>
      <c r="N130" s="16" t="s">
        <v>71</v>
      </c>
      <c r="O130" s="15">
        <v>304014</v>
      </c>
      <c r="P130" s="15">
        <v>173700</v>
      </c>
      <c r="Q130" s="15" t="s">
        <v>37</v>
      </c>
      <c r="R130" s="30" t="s">
        <v>584</v>
      </c>
      <c r="S130" s="30" t="s">
        <v>585</v>
      </c>
      <c r="T130" s="15" t="s">
        <v>53</v>
      </c>
      <c r="U130" s="15">
        <v>1.5</v>
      </c>
      <c r="V130" s="15">
        <v>1.8</v>
      </c>
      <c r="W130" s="15">
        <f t="shared" si="1"/>
        <v>3.3</v>
      </c>
      <c r="X130" s="16">
        <v>2569</v>
      </c>
      <c r="Y130" s="15" t="s">
        <v>59</v>
      </c>
    </row>
    <row r="131" spans="1:26" x14ac:dyDescent="0.2">
      <c r="A131" s="13">
        <v>128</v>
      </c>
      <c r="B131" s="13" t="s">
        <v>415</v>
      </c>
      <c r="C131" s="13" t="s">
        <v>586</v>
      </c>
      <c r="D131" s="13" t="s">
        <v>28</v>
      </c>
      <c r="E131" s="23" t="s">
        <v>587</v>
      </c>
      <c r="F131" s="14" t="s">
        <v>588</v>
      </c>
      <c r="G131" s="15">
        <v>6</v>
      </c>
      <c r="H131" s="16" t="s">
        <v>495</v>
      </c>
      <c r="I131" s="16">
        <v>2569</v>
      </c>
      <c r="J131" s="17"/>
      <c r="K131" s="17" t="s">
        <v>576</v>
      </c>
      <c r="L131" s="16" t="s">
        <v>133</v>
      </c>
      <c r="M131" s="16" t="s">
        <v>134</v>
      </c>
      <c r="N131" s="16" t="s">
        <v>71</v>
      </c>
      <c r="O131" s="15">
        <v>494956</v>
      </c>
      <c r="P131" s="15">
        <v>347400</v>
      </c>
      <c r="Q131" s="15" t="s">
        <v>787</v>
      </c>
      <c r="R131" s="31" t="s">
        <v>589</v>
      </c>
      <c r="S131" s="31" t="s">
        <v>590</v>
      </c>
      <c r="T131" s="15" t="s">
        <v>53</v>
      </c>
      <c r="U131" s="15">
        <v>3</v>
      </c>
      <c r="V131" s="15">
        <v>2</v>
      </c>
      <c r="W131" s="15">
        <f t="shared" si="1"/>
        <v>5</v>
      </c>
      <c r="X131" s="16">
        <v>2570</v>
      </c>
      <c r="Y131" s="15" t="s">
        <v>59</v>
      </c>
    </row>
    <row r="132" spans="1:26" x14ac:dyDescent="0.2">
      <c r="A132" s="13">
        <v>129</v>
      </c>
      <c r="B132" s="13" t="s">
        <v>415</v>
      </c>
      <c r="C132" s="13" t="s">
        <v>515</v>
      </c>
      <c r="D132" s="13" t="s">
        <v>28</v>
      </c>
      <c r="E132" s="13" t="s">
        <v>591</v>
      </c>
      <c r="F132" s="14" t="s">
        <v>592</v>
      </c>
      <c r="G132" s="15">
        <v>1.6</v>
      </c>
      <c r="H132" s="16" t="s">
        <v>477</v>
      </c>
      <c r="I132" s="16">
        <v>2569</v>
      </c>
      <c r="J132" s="17"/>
      <c r="K132" s="17" t="s">
        <v>576</v>
      </c>
      <c r="L132" s="16" t="s">
        <v>34</v>
      </c>
      <c r="M132" s="16" t="s">
        <v>134</v>
      </c>
      <c r="N132" s="16" t="s">
        <v>71</v>
      </c>
      <c r="O132" s="15">
        <v>88685</v>
      </c>
      <c r="P132" s="15">
        <v>115800</v>
      </c>
      <c r="Q132" s="15" t="s">
        <v>37</v>
      </c>
      <c r="R132" s="30" t="s">
        <v>593</v>
      </c>
      <c r="S132" s="30" t="s">
        <v>594</v>
      </c>
      <c r="T132" s="15" t="s">
        <v>453</v>
      </c>
      <c r="U132" s="15">
        <v>1</v>
      </c>
      <c r="V132" s="15">
        <v>0.3</v>
      </c>
      <c r="W132" s="15">
        <f t="shared" si="1"/>
        <v>1.3</v>
      </c>
      <c r="X132" s="16">
        <v>2567</v>
      </c>
      <c r="Y132" s="15" t="s">
        <v>47</v>
      </c>
    </row>
    <row r="133" spans="1:26" x14ac:dyDescent="0.2">
      <c r="A133" s="13">
        <v>130</v>
      </c>
      <c r="B133" s="13" t="s">
        <v>415</v>
      </c>
      <c r="C133" s="13" t="s">
        <v>416</v>
      </c>
      <c r="D133" s="13" t="s">
        <v>28</v>
      </c>
      <c r="E133" s="13" t="s">
        <v>595</v>
      </c>
      <c r="F133" s="14" t="s">
        <v>596</v>
      </c>
      <c r="G133" s="15">
        <v>5.4</v>
      </c>
      <c r="H133" s="16" t="s">
        <v>419</v>
      </c>
      <c r="I133" s="16">
        <v>2569</v>
      </c>
      <c r="J133" s="17"/>
      <c r="K133" s="17" t="s">
        <v>576</v>
      </c>
      <c r="L133" s="16" t="s">
        <v>34</v>
      </c>
      <c r="M133" s="16" t="s">
        <v>134</v>
      </c>
      <c r="N133" s="16" t="s">
        <v>71</v>
      </c>
      <c r="O133" s="15">
        <v>35000</v>
      </c>
      <c r="P133" s="15">
        <v>288000</v>
      </c>
      <c r="Q133" s="15" t="s">
        <v>787</v>
      </c>
      <c r="R133" s="30" t="s">
        <v>817</v>
      </c>
      <c r="S133" s="30" t="s">
        <v>818</v>
      </c>
      <c r="T133" s="15" t="s">
        <v>473</v>
      </c>
      <c r="U133" s="15">
        <v>0</v>
      </c>
      <c r="V133" s="15">
        <v>0</v>
      </c>
      <c r="W133" s="15">
        <f t="shared" ref="W133:W175" si="2">U133+V133</f>
        <v>0</v>
      </c>
      <c r="X133" s="16">
        <v>2569</v>
      </c>
      <c r="Y133" s="15" t="s">
        <v>41</v>
      </c>
      <c r="Z133" s="1" t="s">
        <v>473</v>
      </c>
    </row>
    <row r="134" spans="1:26" ht="25.5" x14ac:dyDescent="0.2">
      <c r="A134" s="13">
        <v>131</v>
      </c>
      <c r="B134" s="13" t="s">
        <v>415</v>
      </c>
      <c r="C134" s="13" t="s">
        <v>503</v>
      </c>
      <c r="D134" s="13" t="s">
        <v>28</v>
      </c>
      <c r="E134" s="13" t="s">
        <v>810</v>
      </c>
      <c r="F134" s="14" t="s">
        <v>600</v>
      </c>
      <c r="G134" s="15">
        <v>4.4000000000000004</v>
      </c>
      <c r="H134" s="16" t="s">
        <v>506</v>
      </c>
      <c r="I134" s="16">
        <v>2569</v>
      </c>
      <c r="J134" s="17"/>
      <c r="K134" s="17" t="s">
        <v>576</v>
      </c>
      <c r="L134" s="15" t="s">
        <v>69</v>
      </c>
      <c r="M134" s="16" t="s">
        <v>70</v>
      </c>
      <c r="N134" s="16" t="s">
        <v>71</v>
      </c>
      <c r="O134" s="15">
        <v>0</v>
      </c>
      <c r="P134" s="15">
        <v>0</v>
      </c>
      <c r="Q134" s="15" t="s">
        <v>69</v>
      </c>
      <c r="R134" s="30" t="s">
        <v>601</v>
      </c>
      <c r="S134" s="30" t="s">
        <v>602</v>
      </c>
      <c r="T134" s="15" t="s">
        <v>69</v>
      </c>
      <c r="U134" s="15">
        <v>0</v>
      </c>
      <c r="V134" s="15">
        <v>0</v>
      </c>
      <c r="W134" s="15">
        <f t="shared" si="2"/>
        <v>0</v>
      </c>
      <c r="X134" s="16" t="s">
        <v>69</v>
      </c>
      <c r="Y134" s="15" t="s">
        <v>69</v>
      </c>
      <c r="Z134" s="27" t="s">
        <v>603</v>
      </c>
    </row>
    <row r="135" spans="1:26" ht="25.5" x14ac:dyDescent="0.2">
      <c r="A135" s="13">
        <v>132</v>
      </c>
      <c r="B135" s="13" t="s">
        <v>415</v>
      </c>
      <c r="C135" s="13" t="s">
        <v>604</v>
      </c>
      <c r="D135" s="13" t="s">
        <v>28</v>
      </c>
      <c r="E135" s="13" t="s">
        <v>605</v>
      </c>
      <c r="F135" s="14" t="s">
        <v>606</v>
      </c>
      <c r="G135" s="15">
        <v>2.6</v>
      </c>
      <c r="H135" s="16" t="s">
        <v>607</v>
      </c>
      <c r="I135" s="16">
        <v>2569</v>
      </c>
      <c r="J135" s="17"/>
      <c r="K135" s="17" t="s">
        <v>576</v>
      </c>
      <c r="L135" s="16" t="s">
        <v>90</v>
      </c>
      <c r="M135" s="16" t="s">
        <v>134</v>
      </c>
      <c r="N135" s="16" t="s">
        <v>71</v>
      </c>
      <c r="O135" s="15">
        <v>423822</v>
      </c>
      <c r="P135" s="15">
        <v>92640</v>
      </c>
      <c r="Q135" s="15" t="s">
        <v>37</v>
      </c>
      <c r="R135" s="30" t="s">
        <v>608</v>
      </c>
      <c r="S135" s="30" t="s">
        <v>609</v>
      </c>
      <c r="T135" s="15" t="s">
        <v>40</v>
      </c>
      <c r="U135" s="15">
        <v>0.8</v>
      </c>
      <c r="V135" s="15">
        <v>2.1</v>
      </c>
      <c r="W135" s="15">
        <f t="shared" si="2"/>
        <v>2.9000000000000004</v>
      </c>
      <c r="X135" s="16">
        <v>2569</v>
      </c>
      <c r="Y135" s="15" t="s">
        <v>59</v>
      </c>
    </row>
    <row r="136" spans="1:26" x14ac:dyDescent="0.2">
      <c r="A136" s="13">
        <v>133</v>
      </c>
      <c r="B136" s="13" t="s">
        <v>415</v>
      </c>
      <c r="C136" s="13" t="s">
        <v>610</v>
      </c>
      <c r="D136" s="13" t="s">
        <v>28</v>
      </c>
      <c r="E136" s="13" t="s">
        <v>611</v>
      </c>
      <c r="F136" s="14" t="s">
        <v>612</v>
      </c>
      <c r="G136" s="15">
        <v>3.4</v>
      </c>
      <c r="H136" s="16" t="s">
        <v>613</v>
      </c>
      <c r="I136" s="16">
        <v>2569</v>
      </c>
      <c r="J136" s="17"/>
      <c r="K136" s="17" t="s">
        <v>576</v>
      </c>
      <c r="L136" s="16" t="s">
        <v>614</v>
      </c>
      <c r="M136" s="16" t="s">
        <v>134</v>
      </c>
      <c r="N136" s="16" t="s">
        <v>71</v>
      </c>
      <c r="O136" s="15">
        <v>39709.599999999999</v>
      </c>
      <c r="P136" s="15">
        <v>34740</v>
      </c>
      <c r="Q136" s="15" t="s">
        <v>787</v>
      </c>
      <c r="R136" s="30" t="s">
        <v>615</v>
      </c>
      <c r="S136" s="30" t="s">
        <v>616</v>
      </c>
      <c r="T136" s="15" t="s">
        <v>87</v>
      </c>
      <c r="U136" s="15">
        <v>0.3</v>
      </c>
      <c r="V136" s="15">
        <v>0.7</v>
      </c>
      <c r="W136" s="15">
        <f t="shared" si="2"/>
        <v>1</v>
      </c>
      <c r="X136" s="16">
        <v>2570</v>
      </c>
      <c r="Y136" s="15" t="s">
        <v>41</v>
      </c>
    </row>
    <row r="137" spans="1:26" x14ac:dyDescent="0.2">
      <c r="A137" s="13">
        <v>134</v>
      </c>
      <c r="B137" s="13" t="s">
        <v>415</v>
      </c>
      <c r="C137" s="13" t="s">
        <v>617</v>
      </c>
      <c r="D137" s="13" t="s">
        <v>28</v>
      </c>
      <c r="E137" s="13" t="s">
        <v>618</v>
      </c>
      <c r="F137" s="14" t="s">
        <v>619</v>
      </c>
      <c r="G137" s="15">
        <v>4.04</v>
      </c>
      <c r="H137" s="16" t="s">
        <v>56</v>
      </c>
      <c r="I137" s="16">
        <v>2569</v>
      </c>
      <c r="J137" s="17"/>
      <c r="K137" s="17" t="s">
        <v>576</v>
      </c>
      <c r="L137" s="16" t="s">
        <v>34</v>
      </c>
      <c r="M137" s="16" t="s">
        <v>84</v>
      </c>
      <c r="N137" s="16" t="s">
        <v>71</v>
      </c>
      <c r="O137" s="15">
        <v>41196</v>
      </c>
      <c r="P137" s="15">
        <v>0</v>
      </c>
      <c r="Q137" s="15" t="s">
        <v>37</v>
      </c>
      <c r="R137" s="30" t="s">
        <v>785</v>
      </c>
      <c r="S137" s="30" t="s">
        <v>786</v>
      </c>
      <c r="T137" s="15" t="s">
        <v>87</v>
      </c>
      <c r="U137" s="15">
        <v>0</v>
      </c>
      <c r="V137" s="15">
        <v>1.2</v>
      </c>
      <c r="W137" s="15">
        <f t="shared" si="2"/>
        <v>1.2</v>
      </c>
      <c r="X137" s="16">
        <v>2568</v>
      </c>
      <c r="Y137" s="15" t="s">
        <v>41</v>
      </c>
    </row>
    <row r="138" spans="1:26" x14ac:dyDescent="0.2">
      <c r="A138" s="13">
        <v>135</v>
      </c>
      <c r="B138" s="13" t="s">
        <v>415</v>
      </c>
      <c r="C138" s="13" t="s">
        <v>465</v>
      </c>
      <c r="D138" s="13" t="s">
        <v>28</v>
      </c>
      <c r="E138" s="13" t="s">
        <v>620</v>
      </c>
      <c r="F138" s="14" t="s">
        <v>621</v>
      </c>
      <c r="G138" s="15">
        <v>1.7</v>
      </c>
      <c r="H138" s="16" t="s">
        <v>468</v>
      </c>
      <c r="I138" s="16">
        <v>2569</v>
      </c>
      <c r="J138" s="17"/>
      <c r="K138" s="17" t="s">
        <v>576</v>
      </c>
      <c r="L138" s="16" t="s">
        <v>34</v>
      </c>
      <c r="M138" s="16" t="s">
        <v>134</v>
      </c>
      <c r="N138" s="16" t="s">
        <v>71</v>
      </c>
      <c r="O138" s="15">
        <v>395137</v>
      </c>
      <c r="P138" s="15">
        <v>173700</v>
      </c>
      <c r="Q138" s="15" t="s">
        <v>37</v>
      </c>
      <c r="R138" s="30" t="s">
        <v>622</v>
      </c>
      <c r="S138" s="30" t="s">
        <v>623</v>
      </c>
      <c r="T138" s="69" t="s">
        <v>40</v>
      </c>
      <c r="U138" s="69">
        <v>1.5</v>
      </c>
      <c r="V138" s="69">
        <v>0.8</v>
      </c>
      <c r="W138" s="15">
        <f t="shared" si="2"/>
        <v>2.2999999999999998</v>
      </c>
      <c r="X138" s="68">
        <v>2568</v>
      </c>
      <c r="Y138" s="69" t="s">
        <v>47</v>
      </c>
    </row>
    <row r="139" spans="1:26" x14ac:dyDescent="0.2">
      <c r="A139" s="13">
        <v>136</v>
      </c>
      <c r="B139" s="13" t="s">
        <v>415</v>
      </c>
      <c r="C139" s="13" t="s">
        <v>416</v>
      </c>
      <c r="D139" s="13" t="s">
        <v>28</v>
      </c>
      <c r="E139" s="13" t="s">
        <v>624</v>
      </c>
      <c r="F139" s="14" t="s">
        <v>625</v>
      </c>
      <c r="G139" s="15">
        <v>0.8</v>
      </c>
      <c r="H139" s="16" t="s">
        <v>419</v>
      </c>
      <c r="I139" s="16">
        <v>2569</v>
      </c>
      <c r="J139" s="17"/>
      <c r="K139" s="17" t="s">
        <v>576</v>
      </c>
      <c r="L139" s="16" t="s">
        <v>34</v>
      </c>
      <c r="M139" s="16" t="s">
        <v>134</v>
      </c>
      <c r="N139" s="16" t="s">
        <v>71</v>
      </c>
      <c r="O139" s="15">
        <v>153207</v>
      </c>
      <c r="P139" s="15">
        <v>115800</v>
      </c>
      <c r="Q139" s="15" t="s">
        <v>787</v>
      </c>
      <c r="R139" s="30" t="s">
        <v>626</v>
      </c>
      <c r="S139" s="30" t="s">
        <v>627</v>
      </c>
      <c r="T139" s="15" t="s">
        <v>53</v>
      </c>
      <c r="U139" s="15">
        <v>1</v>
      </c>
      <c r="V139" s="15">
        <v>0.5</v>
      </c>
      <c r="W139" s="15">
        <f t="shared" si="2"/>
        <v>1.5</v>
      </c>
      <c r="X139" s="16">
        <v>2569</v>
      </c>
      <c r="Y139" s="15" t="s">
        <v>41</v>
      </c>
    </row>
    <row r="140" spans="1:26" ht="25.5" x14ac:dyDescent="0.2">
      <c r="A140" s="13">
        <v>137</v>
      </c>
      <c r="B140" s="13" t="s">
        <v>415</v>
      </c>
      <c r="C140" s="13" t="s">
        <v>628</v>
      </c>
      <c r="D140" s="13" t="s">
        <v>28</v>
      </c>
      <c r="E140" s="13" t="s">
        <v>629</v>
      </c>
      <c r="F140" s="14" t="s">
        <v>630</v>
      </c>
      <c r="G140" s="15">
        <v>2</v>
      </c>
      <c r="H140" s="16" t="s">
        <v>613</v>
      </c>
      <c r="I140" s="16">
        <v>2569</v>
      </c>
      <c r="J140" s="17"/>
      <c r="K140" s="17" t="s">
        <v>631</v>
      </c>
      <c r="L140" s="16" t="s">
        <v>34</v>
      </c>
      <c r="M140" s="16" t="s">
        <v>84</v>
      </c>
      <c r="N140" s="16" t="s">
        <v>71</v>
      </c>
      <c r="O140" s="15">
        <v>68660</v>
      </c>
      <c r="P140" s="15">
        <v>0</v>
      </c>
      <c r="Q140" s="15" t="s">
        <v>37</v>
      </c>
      <c r="R140" s="30" t="s">
        <v>632</v>
      </c>
      <c r="S140" s="30" t="s">
        <v>633</v>
      </c>
      <c r="T140" s="15" t="s">
        <v>87</v>
      </c>
      <c r="U140" s="15">
        <v>0</v>
      </c>
      <c r="V140" s="15">
        <v>2</v>
      </c>
      <c r="W140" s="15">
        <f t="shared" si="2"/>
        <v>2</v>
      </c>
      <c r="X140" s="16">
        <v>2568</v>
      </c>
      <c r="Y140" s="15" t="s">
        <v>41</v>
      </c>
    </row>
    <row r="141" spans="1:26" ht="25.5" x14ac:dyDescent="0.2">
      <c r="A141" s="13">
        <v>138</v>
      </c>
      <c r="B141" s="13" t="s">
        <v>415</v>
      </c>
      <c r="C141" s="13" t="s">
        <v>634</v>
      </c>
      <c r="D141" s="13" t="s">
        <v>48</v>
      </c>
      <c r="E141" s="13" t="s">
        <v>811</v>
      </c>
      <c r="F141" s="14" t="s">
        <v>635</v>
      </c>
      <c r="G141" s="15">
        <v>14</v>
      </c>
      <c r="H141" s="16" t="s">
        <v>613</v>
      </c>
      <c r="I141" s="16">
        <v>2569</v>
      </c>
      <c r="J141" s="17"/>
      <c r="K141" s="17" t="s">
        <v>631</v>
      </c>
      <c r="L141" s="16" t="s">
        <v>133</v>
      </c>
      <c r="M141" s="16" t="s">
        <v>134</v>
      </c>
      <c r="N141" s="16" t="s">
        <v>71</v>
      </c>
      <c r="O141" s="15">
        <v>195030</v>
      </c>
      <c r="P141" s="15">
        <v>231600</v>
      </c>
      <c r="Q141" s="15" t="s">
        <v>787</v>
      </c>
      <c r="R141" s="30" t="s">
        <v>636</v>
      </c>
      <c r="S141" s="30" t="s">
        <v>637</v>
      </c>
      <c r="T141" s="15" t="s">
        <v>453</v>
      </c>
      <c r="U141" s="15">
        <v>2</v>
      </c>
      <c r="V141" s="15">
        <v>1</v>
      </c>
      <c r="W141" s="15">
        <f t="shared" si="2"/>
        <v>3</v>
      </c>
      <c r="X141" s="16">
        <v>2569</v>
      </c>
      <c r="Y141" s="15" t="s">
        <v>47</v>
      </c>
    </row>
    <row r="142" spans="1:26" ht="25.5" x14ac:dyDescent="0.2">
      <c r="A142" s="13">
        <v>139</v>
      </c>
      <c r="B142" s="13" t="s">
        <v>415</v>
      </c>
      <c r="C142" s="13" t="s">
        <v>617</v>
      </c>
      <c r="D142" s="13" t="s">
        <v>28</v>
      </c>
      <c r="E142" s="13" t="s">
        <v>599</v>
      </c>
      <c r="F142" s="14" t="s">
        <v>638</v>
      </c>
      <c r="G142" s="15">
        <v>2</v>
      </c>
      <c r="H142" s="16" t="s">
        <v>56</v>
      </c>
      <c r="I142" s="16">
        <v>2569</v>
      </c>
      <c r="J142" s="17"/>
      <c r="K142" s="17" t="s">
        <v>631</v>
      </c>
      <c r="L142" s="16" t="s">
        <v>133</v>
      </c>
      <c r="M142" s="16" t="s">
        <v>134</v>
      </c>
      <c r="N142" s="16" t="s">
        <v>36</v>
      </c>
      <c r="O142" s="15">
        <v>90700</v>
      </c>
      <c r="P142" s="15">
        <v>57900</v>
      </c>
      <c r="Q142" s="15" t="s">
        <v>787</v>
      </c>
      <c r="R142" s="30" t="s">
        <v>779</v>
      </c>
      <c r="S142" s="30" t="s">
        <v>778</v>
      </c>
      <c r="T142" s="15" t="s">
        <v>453</v>
      </c>
      <c r="U142" s="15">
        <v>0.5</v>
      </c>
      <c r="V142" s="15">
        <v>1.2</v>
      </c>
      <c r="W142" s="15">
        <f t="shared" si="2"/>
        <v>1.7</v>
      </c>
      <c r="X142" s="16">
        <v>2569</v>
      </c>
      <c r="Y142" s="15" t="s">
        <v>47</v>
      </c>
    </row>
    <row r="143" spans="1:26" x14ac:dyDescent="0.2">
      <c r="A143" s="13">
        <v>140</v>
      </c>
      <c r="B143" s="13" t="s">
        <v>415</v>
      </c>
      <c r="C143" s="13" t="s">
        <v>474</v>
      </c>
      <c r="D143" s="13" t="s">
        <v>28</v>
      </c>
      <c r="E143" s="13" t="s">
        <v>639</v>
      </c>
      <c r="F143" s="14" t="s">
        <v>640</v>
      </c>
      <c r="G143" s="15">
        <v>2.2000000000000002</v>
      </c>
      <c r="H143" s="16" t="s">
        <v>477</v>
      </c>
      <c r="I143" s="16">
        <v>2569</v>
      </c>
      <c r="J143" s="17"/>
      <c r="K143" s="17" t="s">
        <v>631</v>
      </c>
      <c r="L143" s="16" t="s">
        <v>90</v>
      </c>
      <c r="M143" s="16" t="s">
        <v>134</v>
      </c>
      <c r="N143" s="16" t="s">
        <v>71</v>
      </c>
      <c r="O143" s="15">
        <v>258470</v>
      </c>
      <c r="P143" s="15">
        <v>57900</v>
      </c>
      <c r="Q143" s="15" t="s">
        <v>787</v>
      </c>
      <c r="R143" s="30" t="s">
        <v>478</v>
      </c>
      <c r="S143" s="30" t="s">
        <v>479</v>
      </c>
      <c r="T143" s="15" t="s">
        <v>453</v>
      </c>
      <c r="U143" s="15">
        <v>0.5</v>
      </c>
      <c r="V143" s="15">
        <v>5</v>
      </c>
      <c r="W143" s="15">
        <f t="shared" si="2"/>
        <v>5.5</v>
      </c>
      <c r="X143" s="16">
        <v>2569</v>
      </c>
      <c r="Y143" s="15" t="s">
        <v>47</v>
      </c>
    </row>
    <row r="144" spans="1:26" x14ac:dyDescent="0.2">
      <c r="A144" s="13">
        <v>141</v>
      </c>
      <c r="B144" s="13" t="s">
        <v>415</v>
      </c>
      <c r="C144" s="13" t="s">
        <v>474</v>
      </c>
      <c r="D144" s="13" t="s">
        <v>28</v>
      </c>
      <c r="E144" s="13" t="s">
        <v>641</v>
      </c>
      <c r="F144" s="14" t="s">
        <v>642</v>
      </c>
      <c r="G144" s="15">
        <v>4.5999999999999996</v>
      </c>
      <c r="H144" s="16" t="s">
        <v>477</v>
      </c>
      <c r="I144" s="16">
        <v>2569</v>
      </c>
      <c r="J144" s="17"/>
      <c r="K144" s="17" t="s">
        <v>631</v>
      </c>
      <c r="L144" s="16" t="s">
        <v>90</v>
      </c>
      <c r="M144" s="16" t="s">
        <v>134</v>
      </c>
      <c r="N144" s="16" t="s">
        <v>71</v>
      </c>
      <c r="O144" s="15">
        <v>258470</v>
      </c>
      <c r="P144" s="15">
        <v>57900</v>
      </c>
      <c r="Q144" s="15" t="s">
        <v>787</v>
      </c>
      <c r="R144" s="30" t="s">
        <v>819</v>
      </c>
      <c r="S144" s="30" t="s">
        <v>644</v>
      </c>
      <c r="T144" s="15" t="s">
        <v>453</v>
      </c>
      <c r="U144" s="15">
        <v>0.5</v>
      </c>
      <c r="V144" s="15">
        <v>5</v>
      </c>
      <c r="W144" s="15">
        <f t="shared" si="2"/>
        <v>5.5</v>
      </c>
      <c r="X144" s="16">
        <v>2569</v>
      </c>
      <c r="Y144" s="15" t="s">
        <v>47</v>
      </c>
    </row>
    <row r="145" spans="1:25" x14ac:dyDescent="0.2">
      <c r="A145" s="13">
        <v>142</v>
      </c>
      <c r="B145" s="13" t="s">
        <v>415</v>
      </c>
      <c r="C145" s="23" t="s">
        <v>645</v>
      </c>
      <c r="D145" s="13" t="s">
        <v>28</v>
      </c>
      <c r="E145" s="13" t="s">
        <v>646</v>
      </c>
      <c r="F145" s="14" t="s">
        <v>647</v>
      </c>
      <c r="G145" s="15">
        <v>2.8</v>
      </c>
      <c r="H145" s="16" t="s">
        <v>468</v>
      </c>
      <c r="I145" s="16">
        <v>2569</v>
      </c>
      <c r="J145" s="17"/>
      <c r="K145" s="17" t="s">
        <v>631</v>
      </c>
      <c r="L145" s="16" t="s">
        <v>133</v>
      </c>
      <c r="M145" s="16" t="s">
        <v>134</v>
      </c>
      <c r="N145" s="16" t="s">
        <v>71</v>
      </c>
      <c r="O145" s="15">
        <v>240384.4</v>
      </c>
      <c r="P145" s="15">
        <v>138960</v>
      </c>
      <c r="Q145" s="15" t="s">
        <v>787</v>
      </c>
      <c r="R145" s="30" t="s">
        <v>648</v>
      </c>
      <c r="S145" s="30" t="s">
        <v>649</v>
      </c>
      <c r="T145" s="15" t="s">
        <v>53</v>
      </c>
      <c r="U145" s="15">
        <v>1.2</v>
      </c>
      <c r="V145" s="15">
        <v>1.4</v>
      </c>
      <c r="W145" s="15">
        <f t="shared" si="2"/>
        <v>2.5999999999999996</v>
      </c>
      <c r="X145" s="16">
        <v>2570</v>
      </c>
      <c r="Y145" s="15" t="s">
        <v>41</v>
      </c>
    </row>
    <row r="146" spans="1:25" ht="25.5" x14ac:dyDescent="0.2">
      <c r="A146" s="13">
        <v>143</v>
      </c>
      <c r="B146" s="13" t="s">
        <v>415</v>
      </c>
      <c r="C146" s="13" t="s">
        <v>650</v>
      </c>
      <c r="D146" s="13" t="s">
        <v>28</v>
      </c>
      <c r="E146" s="13" t="s">
        <v>651</v>
      </c>
      <c r="F146" s="14" t="s">
        <v>652</v>
      </c>
      <c r="G146" s="15">
        <v>5.4</v>
      </c>
      <c r="H146" s="16" t="s">
        <v>613</v>
      </c>
      <c r="I146" s="16">
        <v>2569</v>
      </c>
      <c r="J146" s="17"/>
      <c r="K146" s="17" t="s">
        <v>631</v>
      </c>
      <c r="L146" s="16" t="s">
        <v>34</v>
      </c>
      <c r="M146" s="16" t="s">
        <v>35</v>
      </c>
      <c r="N146" s="16" t="s">
        <v>71</v>
      </c>
      <c r="O146" s="15">
        <v>59238</v>
      </c>
      <c r="P146" s="15">
        <v>23160</v>
      </c>
      <c r="Q146" s="15" t="s">
        <v>37</v>
      </c>
      <c r="R146" s="30" t="s">
        <v>653</v>
      </c>
      <c r="S146" s="30" t="s">
        <v>654</v>
      </c>
      <c r="T146" s="15" t="s">
        <v>453</v>
      </c>
      <c r="U146" s="15">
        <v>0.2</v>
      </c>
      <c r="V146" s="15">
        <v>1</v>
      </c>
      <c r="W146" s="15">
        <f t="shared" si="2"/>
        <v>1.2</v>
      </c>
      <c r="X146" s="16">
        <v>2568</v>
      </c>
      <c r="Y146" s="15" t="s">
        <v>41</v>
      </c>
    </row>
    <row r="147" spans="1:25" ht="25.5" x14ac:dyDescent="0.2">
      <c r="A147" s="13">
        <v>144</v>
      </c>
      <c r="B147" s="13" t="s">
        <v>415</v>
      </c>
      <c r="C147" s="13" t="s">
        <v>448</v>
      </c>
      <c r="D147" s="13" t="s">
        <v>28</v>
      </c>
      <c r="E147" s="13" t="s">
        <v>809</v>
      </c>
      <c r="F147" s="14" t="s">
        <v>655</v>
      </c>
      <c r="G147" s="15">
        <v>7.6</v>
      </c>
      <c r="H147" s="16" t="s">
        <v>419</v>
      </c>
      <c r="I147" s="16">
        <v>2569</v>
      </c>
      <c r="J147" s="17"/>
      <c r="K147" s="17" t="s">
        <v>631</v>
      </c>
      <c r="L147" s="16" t="s">
        <v>34</v>
      </c>
      <c r="M147" s="16" t="s">
        <v>134</v>
      </c>
      <c r="N147" s="16" t="s">
        <v>71</v>
      </c>
      <c r="O147" s="15">
        <v>61638</v>
      </c>
      <c r="P147" s="15">
        <v>81060</v>
      </c>
      <c r="Q147" s="15" t="s">
        <v>787</v>
      </c>
      <c r="R147" s="30" t="s">
        <v>656</v>
      </c>
      <c r="S147" s="30" t="s">
        <v>657</v>
      </c>
      <c r="T147" s="15" t="s">
        <v>453</v>
      </c>
      <c r="U147" s="15">
        <v>0.7</v>
      </c>
      <c r="V147" s="15">
        <v>0.2</v>
      </c>
      <c r="W147" s="15">
        <f t="shared" si="2"/>
        <v>0.89999999999999991</v>
      </c>
      <c r="X147" s="16">
        <v>2569</v>
      </c>
      <c r="Y147" s="15" t="s">
        <v>47</v>
      </c>
    </row>
    <row r="148" spans="1:25" x14ac:dyDescent="0.2">
      <c r="A148" s="13">
        <v>145</v>
      </c>
      <c r="B148" s="13" t="s">
        <v>415</v>
      </c>
      <c r="C148" s="13" t="s">
        <v>658</v>
      </c>
      <c r="D148" s="13" t="s">
        <v>28</v>
      </c>
      <c r="E148" s="13" t="s">
        <v>659</v>
      </c>
      <c r="F148" s="14" t="s">
        <v>660</v>
      </c>
      <c r="G148" s="15">
        <v>11.36</v>
      </c>
      <c r="H148" s="16" t="s">
        <v>613</v>
      </c>
      <c r="I148" s="16">
        <v>2569</v>
      </c>
      <c r="J148" s="17"/>
      <c r="K148" s="17" t="s">
        <v>631</v>
      </c>
      <c r="L148" s="15" t="s">
        <v>69</v>
      </c>
      <c r="M148" s="16" t="s">
        <v>70</v>
      </c>
      <c r="N148" s="16" t="s">
        <v>71</v>
      </c>
      <c r="O148" s="15">
        <v>0</v>
      </c>
      <c r="P148" s="15">
        <v>0</v>
      </c>
      <c r="Q148" s="15" t="s">
        <v>69</v>
      </c>
      <c r="R148" s="30" t="s">
        <v>661</v>
      </c>
      <c r="S148" s="30" t="s">
        <v>662</v>
      </c>
      <c r="T148" s="15" t="s">
        <v>69</v>
      </c>
      <c r="U148" s="15">
        <v>0</v>
      </c>
      <c r="V148" s="15">
        <v>0</v>
      </c>
      <c r="W148" s="15">
        <f t="shared" si="2"/>
        <v>0</v>
      </c>
      <c r="X148" s="16" t="s">
        <v>69</v>
      </c>
      <c r="Y148" s="15" t="s">
        <v>69</v>
      </c>
    </row>
    <row r="149" spans="1:25" ht="25.5" x14ac:dyDescent="0.2">
      <c r="A149" s="13">
        <v>146</v>
      </c>
      <c r="B149" s="13" t="s">
        <v>415</v>
      </c>
      <c r="C149" s="13" t="s">
        <v>628</v>
      </c>
      <c r="D149" s="13" t="s">
        <v>28</v>
      </c>
      <c r="E149" s="13" t="s">
        <v>663</v>
      </c>
      <c r="F149" s="14" t="s">
        <v>664</v>
      </c>
      <c r="G149" s="15">
        <v>2</v>
      </c>
      <c r="H149" s="16" t="s">
        <v>613</v>
      </c>
      <c r="I149" s="16">
        <v>2569</v>
      </c>
      <c r="J149" s="17"/>
      <c r="K149" s="17" t="s">
        <v>631</v>
      </c>
      <c r="L149" s="16" t="s">
        <v>133</v>
      </c>
      <c r="M149" s="16" t="s">
        <v>134</v>
      </c>
      <c r="N149" s="16" t="s">
        <v>71</v>
      </c>
      <c r="O149" s="15">
        <v>59238</v>
      </c>
      <c r="P149" s="15">
        <v>23160</v>
      </c>
      <c r="Q149" s="15" t="s">
        <v>787</v>
      </c>
      <c r="R149" s="30" t="s">
        <v>665</v>
      </c>
      <c r="S149" s="30" t="s">
        <v>666</v>
      </c>
      <c r="T149" s="15" t="s">
        <v>453</v>
      </c>
      <c r="U149" s="15">
        <v>0.2</v>
      </c>
      <c r="V149" s="15">
        <v>1</v>
      </c>
      <c r="W149" s="15">
        <f t="shared" si="2"/>
        <v>1.2</v>
      </c>
      <c r="X149" s="16">
        <v>2569</v>
      </c>
      <c r="Y149" s="15" t="s">
        <v>41</v>
      </c>
    </row>
    <row r="150" spans="1:25" ht="25.5" x14ac:dyDescent="0.2">
      <c r="A150" s="13">
        <v>147</v>
      </c>
      <c r="B150" s="13" t="s">
        <v>415</v>
      </c>
      <c r="C150" s="13" t="s">
        <v>645</v>
      </c>
      <c r="D150" s="13" t="s">
        <v>28</v>
      </c>
      <c r="E150" s="13" t="s">
        <v>667</v>
      </c>
      <c r="F150" s="14" t="s">
        <v>668</v>
      </c>
      <c r="G150" s="15">
        <v>3</v>
      </c>
      <c r="H150" s="16" t="s">
        <v>468</v>
      </c>
      <c r="I150" s="16">
        <v>2569</v>
      </c>
      <c r="J150" s="17"/>
      <c r="K150" s="17" t="s">
        <v>631</v>
      </c>
      <c r="L150" s="16" t="s">
        <v>34</v>
      </c>
      <c r="M150" s="16" t="s">
        <v>134</v>
      </c>
      <c r="N150" s="16" t="s">
        <v>71</v>
      </c>
      <c r="O150" s="15">
        <v>358283</v>
      </c>
      <c r="P150" s="15">
        <v>289500</v>
      </c>
      <c r="Q150" s="15" t="s">
        <v>37</v>
      </c>
      <c r="R150" s="30" t="s">
        <v>826</v>
      </c>
      <c r="S150" s="30" t="s">
        <v>827</v>
      </c>
      <c r="T150" s="69" t="s">
        <v>53</v>
      </c>
      <c r="U150" s="69">
        <v>2.5</v>
      </c>
      <c r="V150" s="69">
        <v>0.9</v>
      </c>
      <c r="W150" s="15">
        <f t="shared" si="2"/>
        <v>3.4</v>
      </c>
      <c r="X150" s="68">
        <v>2568</v>
      </c>
      <c r="Y150" s="69" t="s">
        <v>41</v>
      </c>
    </row>
    <row r="151" spans="1:25" ht="25.5" x14ac:dyDescent="0.2">
      <c r="A151" s="13">
        <v>148</v>
      </c>
      <c r="B151" s="13" t="s">
        <v>415</v>
      </c>
      <c r="C151" s="13" t="s">
        <v>617</v>
      </c>
      <c r="D151" s="13" t="s">
        <v>28</v>
      </c>
      <c r="E151" s="13" t="s">
        <v>671</v>
      </c>
      <c r="F151" s="14" t="s">
        <v>780</v>
      </c>
      <c r="G151" s="15">
        <v>3</v>
      </c>
      <c r="H151" s="16" t="s">
        <v>56</v>
      </c>
      <c r="I151" s="16">
        <v>2569</v>
      </c>
      <c r="J151" s="17"/>
      <c r="K151" s="17" t="s">
        <v>631</v>
      </c>
      <c r="L151" s="16" t="s">
        <v>133</v>
      </c>
      <c r="M151" s="16" t="s">
        <v>134</v>
      </c>
      <c r="N151" s="16" t="s">
        <v>71</v>
      </c>
      <c r="O151" s="15">
        <v>689302</v>
      </c>
      <c r="P151" s="15">
        <v>370560</v>
      </c>
      <c r="Q151" s="15" t="s">
        <v>787</v>
      </c>
      <c r="R151" s="30" t="s">
        <v>781</v>
      </c>
      <c r="S151" s="30" t="s">
        <v>782</v>
      </c>
      <c r="T151" s="15" t="s">
        <v>40</v>
      </c>
      <c r="U151" s="15">
        <v>3.2</v>
      </c>
      <c r="V151" s="15">
        <v>0.5</v>
      </c>
      <c r="W151" s="15">
        <f t="shared" si="2"/>
        <v>3.7</v>
      </c>
      <c r="X151" s="16">
        <v>2570</v>
      </c>
      <c r="Y151" s="15" t="s">
        <v>59</v>
      </c>
    </row>
    <row r="152" spans="1:25" ht="25.5" x14ac:dyDescent="0.2">
      <c r="A152" s="13">
        <v>149</v>
      </c>
      <c r="B152" s="13" t="s">
        <v>415</v>
      </c>
      <c r="C152" s="13" t="s">
        <v>448</v>
      </c>
      <c r="D152" s="13" t="s">
        <v>28</v>
      </c>
      <c r="E152" s="13" t="s">
        <v>673</v>
      </c>
      <c r="F152" s="14" t="s">
        <v>674</v>
      </c>
      <c r="G152" s="15">
        <v>4</v>
      </c>
      <c r="H152" s="16" t="s">
        <v>419</v>
      </c>
      <c r="I152" s="16">
        <v>2569</v>
      </c>
      <c r="J152" s="17"/>
      <c r="K152" s="17" t="s">
        <v>631</v>
      </c>
      <c r="L152" s="16" t="s">
        <v>34</v>
      </c>
      <c r="M152" s="16" t="s">
        <v>134</v>
      </c>
      <c r="N152" s="16" t="s">
        <v>71</v>
      </c>
      <c r="O152" s="15">
        <v>46550</v>
      </c>
      <c r="P152" s="15">
        <v>57900</v>
      </c>
      <c r="Q152" s="15" t="s">
        <v>787</v>
      </c>
      <c r="R152" s="30" t="s">
        <v>675</v>
      </c>
      <c r="S152" s="30" t="s">
        <v>676</v>
      </c>
      <c r="T152" s="15" t="s">
        <v>453</v>
      </c>
      <c r="U152" s="15">
        <v>0.5</v>
      </c>
      <c r="V152" s="15">
        <v>0.2</v>
      </c>
      <c r="W152" s="15">
        <f t="shared" si="2"/>
        <v>0.7</v>
      </c>
      <c r="X152" s="16">
        <v>2569</v>
      </c>
      <c r="Y152" s="15" t="s">
        <v>47</v>
      </c>
    </row>
    <row r="153" spans="1:25" ht="25.5" x14ac:dyDescent="0.2">
      <c r="A153" s="13">
        <v>150</v>
      </c>
      <c r="B153" s="13" t="s">
        <v>415</v>
      </c>
      <c r="C153" s="13" t="s">
        <v>503</v>
      </c>
      <c r="D153" s="13" t="s">
        <v>28</v>
      </c>
      <c r="E153" s="13" t="s">
        <v>677</v>
      </c>
      <c r="F153" s="14" t="s">
        <v>678</v>
      </c>
      <c r="G153" s="15">
        <v>10</v>
      </c>
      <c r="H153" s="16" t="s">
        <v>506</v>
      </c>
      <c r="I153" s="16">
        <v>2569</v>
      </c>
      <c r="J153" s="17"/>
      <c r="K153" s="17" t="s">
        <v>631</v>
      </c>
      <c r="L153" s="16" t="s">
        <v>133</v>
      </c>
      <c r="M153" s="16" t="s">
        <v>35</v>
      </c>
      <c r="N153" s="16" t="s">
        <v>71</v>
      </c>
      <c r="O153" s="15">
        <v>141446.39999999999</v>
      </c>
      <c r="P153" s="15">
        <v>138960</v>
      </c>
      <c r="Q153" s="15" t="s">
        <v>787</v>
      </c>
      <c r="R153" s="30" t="s">
        <v>679</v>
      </c>
      <c r="S153" s="30" t="s">
        <v>680</v>
      </c>
      <c r="T153" s="15" t="s">
        <v>53</v>
      </c>
      <c r="U153" s="15">
        <v>1.2</v>
      </c>
      <c r="V153" s="15">
        <v>0</v>
      </c>
      <c r="W153" s="15">
        <f t="shared" si="2"/>
        <v>1.2</v>
      </c>
      <c r="X153" s="16">
        <v>2569</v>
      </c>
      <c r="Y153" s="15" t="s">
        <v>47</v>
      </c>
    </row>
    <row r="154" spans="1:25" x14ac:dyDescent="0.2">
      <c r="A154" s="13">
        <v>151</v>
      </c>
      <c r="B154" s="13" t="s">
        <v>415</v>
      </c>
      <c r="C154" s="13" t="s">
        <v>458</v>
      </c>
      <c r="D154" s="13" t="s">
        <v>28</v>
      </c>
      <c r="E154" s="13" t="s">
        <v>681</v>
      </c>
      <c r="F154" s="14" t="s">
        <v>682</v>
      </c>
      <c r="G154" s="15">
        <v>8.4</v>
      </c>
      <c r="H154" s="16" t="s">
        <v>461</v>
      </c>
      <c r="I154" s="16">
        <v>2570</v>
      </c>
      <c r="J154" s="17"/>
      <c r="K154" s="17"/>
      <c r="L154" s="16" t="s">
        <v>133</v>
      </c>
      <c r="M154" s="16" t="s">
        <v>134</v>
      </c>
      <c r="N154" s="16" t="s">
        <v>71</v>
      </c>
      <c r="O154" s="15">
        <v>732225</v>
      </c>
      <c r="P154" s="15">
        <v>289500</v>
      </c>
      <c r="Q154" s="15" t="s">
        <v>37</v>
      </c>
      <c r="R154" s="31" t="s">
        <v>683</v>
      </c>
      <c r="S154" s="31" t="s">
        <v>684</v>
      </c>
      <c r="T154" s="15" t="s">
        <v>185</v>
      </c>
      <c r="U154" s="15">
        <v>2.5</v>
      </c>
      <c r="V154" s="15">
        <v>0</v>
      </c>
      <c r="W154" s="15">
        <f t="shared" si="2"/>
        <v>2.5</v>
      </c>
      <c r="X154" s="16">
        <v>2570</v>
      </c>
      <c r="Y154" s="15" t="s">
        <v>41</v>
      </c>
    </row>
    <row r="155" spans="1:25" x14ac:dyDescent="0.2">
      <c r="A155" s="13">
        <v>152</v>
      </c>
      <c r="B155" s="13" t="s">
        <v>415</v>
      </c>
      <c r="C155" s="13" t="s">
        <v>503</v>
      </c>
      <c r="D155" s="13" t="s">
        <v>28</v>
      </c>
      <c r="E155" s="13" t="s">
        <v>685</v>
      </c>
      <c r="F155" s="14" t="s">
        <v>686</v>
      </c>
      <c r="G155" s="15">
        <v>5.2</v>
      </c>
      <c r="H155" s="16" t="s">
        <v>506</v>
      </c>
      <c r="I155" s="16">
        <v>2570</v>
      </c>
      <c r="J155" s="17"/>
      <c r="K155" s="17"/>
      <c r="L155" s="16" t="s">
        <v>133</v>
      </c>
      <c r="M155" s="16" t="s">
        <v>35</v>
      </c>
      <c r="N155" s="16" t="s">
        <v>71</v>
      </c>
      <c r="O155" s="15">
        <v>282839.59999999998</v>
      </c>
      <c r="P155" s="15">
        <v>208440</v>
      </c>
      <c r="Q155" s="15" t="s">
        <v>787</v>
      </c>
      <c r="R155" s="30" t="s">
        <v>687</v>
      </c>
      <c r="S155" s="30" t="s">
        <v>688</v>
      </c>
      <c r="T155" s="15" t="s">
        <v>53</v>
      </c>
      <c r="U155" s="15">
        <v>1.8</v>
      </c>
      <c r="V155" s="15">
        <v>1</v>
      </c>
      <c r="W155" s="15">
        <f t="shared" si="2"/>
        <v>2.8</v>
      </c>
      <c r="X155" s="16">
        <v>2570</v>
      </c>
      <c r="Y155" s="15" t="s">
        <v>59</v>
      </c>
    </row>
    <row r="156" spans="1:25" x14ac:dyDescent="0.2">
      <c r="A156" s="13">
        <v>153</v>
      </c>
      <c r="B156" s="13" t="s">
        <v>415</v>
      </c>
      <c r="C156" s="13" t="s">
        <v>503</v>
      </c>
      <c r="D156" s="13" t="s">
        <v>28</v>
      </c>
      <c r="E156" s="13" t="s">
        <v>689</v>
      </c>
      <c r="F156" s="14" t="s">
        <v>690</v>
      </c>
      <c r="G156" s="15">
        <v>2.4</v>
      </c>
      <c r="H156" s="16" t="s">
        <v>506</v>
      </c>
      <c r="I156" s="16">
        <v>2570</v>
      </c>
      <c r="J156" s="17"/>
      <c r="K156" s="17"/>
      <c r="L156" s="16" t="s">
        <v>133</v>
      </c>
      <c r="M156" s="16" t="s">
        <v>35</v>
      </c>
      <c r="N156" s="16" t="s">
        <v>71</v>
      </c>
      <c r="O156" s="15">
        <v>118668.6</v>
      </c>
      <c r="P156" s="15">
        <v>34740</v>
      </c>
      <c r="Q156" s="15" t="s">
        <v>787</v>
      </c>
      <c r="R156" s="30" t="s">
        <v>691</v>
      </c>
      <c r="S156" s="30" t="s">
        <v>692</v>
      </c>
      <c r="T156" s="15" t="s">
        <v>87</v>
      </c>
      <c r="U156" s="15">
        <v>0.3</v>
      </c>
      <c r="V156" s="15">
        <v>3</v>
      </c>
      <c r="W156" s="15">
        <f t="shared" si="2"/>
        <v>3.3</v>
      </c>
      <c r="X156" s="16">
        <v>2570</v>
      </c>
      <c r="Y156" s="15" t="s">
        <v>59</v>
      </c>
    </row>
    <row r="157" spans="1:25" x14ac:dyDescent="0.2">
      <c r="A157" s="13">
        <v>154</v>
      </c>
      <c r="B157" s="13" t="s">
        <v>415</v>
      </c>
      <c r="C157" s="13" t="s">
        <v>693</v>
      </c>
      <c r="D157" s="13" t="s">
        <v>28</v>
      </c>
      <c r="E157" s="13" t="s">
        <v>694</v>
      </c>
      <c r="F157" s="14" t="s">
        <v>695</v>
      </c>
      <c r="G157" s="15">
        <v>1.04</v>
      </c>
      <c r="H157" s="16" t="s">
        <v>419</v>
      </c>
      <c r="I157" s="16">
        <v>2570</v>
      </c>
      <c r="J157" s="17"/>
      <c r="K157" s="17"/>
      <c r="L157" s="16" t="s">
        <v>34</v>
      </c>
      <c r="M157" s="16" t="s">
        <v>134</v>
      </c>
      <c r="N157" s="16" t="s">
        <v>71</v>
      </c>
      <c r="O157" s="15">
        <v>147538</v>
      </c>
      <c r="P157" s="15">
        <v>23160</v>
      </c>
      <c r="Q157" s="15" t="s">
        <v>37</v>
      </c>
      <c r="R157" s="30" t="s">
        <v>696</v>
      </c>
      <c r="S157" s="30" t="s">
        <v>697</v>
      </c>
      <c r="T157" s="15" t="s">
        <v>453</v>
      </c>
      <c r="U157" s="15">
        <v>0.2</v>
      </c>
      <c r="V157" s="15">
        <v>3</v>
      </c>
      <c r="W157" s="15">
        <f t="shared" si="2"/>
        <v>3.2</v>
      </c>
      <c r="X157" s="16">
        <v>2568</v>
      </c>
      <c r="Y157" s="15" t="s">
        <v>41</v>
      </c>
    </row>
    <row r="158" spans="1:25" x14ac:dyDescent="0.2">
      <c r="A158" s="13">
        <v>155</v>
      </c>
      <c r="B158" s="13" t="s">
        <v>415</v>
      </c>
      <c r="C158" s="13" t="s">
        <v>698</v>
      </c>
      <c r="D158" s="13" t="s">
        <v>28</v>
      </c>
      <c r="E158" s="13" t="s">
        <v>699</v>
      </c>
      <c r="F158" s="14" t="s">
        <v>700</v>
      </c>
      <c r="G158" s="15">
        <v>2</v>
      </c>
      <c r="H158" s="16" t="s">
        <v>495</v>
      </c>
      <c r="I158" s="16">
        <v>2570</v>
      </c>
      <c r="J158" s="17"/>
      <c r="K158" s="17"/>
      <c r="L158" s="16" t="s">
        <v>133</v>
      </c>
      <c r="M158" s="16" t="s">
        <v>134</v>
      </c>
      <c r="N158" s="16" t="s">
        <v>71</v>
      </c>
      <c r="O158" s="15">
        <v>488775</v>
      </c>
      <c r="P158" s="15">
        <v>289500</v>
      </c>
      <c r="Q158" s="15" t="s">
        <v>787</v>
      </c>
      <c r="R158" s="31" t="s">
        <v>828</v>
      </c>
      <c r="S158" s="31" t="s">
        <v>702</v>
      </c>
      <c r="T158" s="15" t="s">
        <v>40</v>
      </c>
      <c r="U158" s="15">
        <v>2.5</v>
      </c>
      <c r="V158" s="15">
        <v>0</v>
      </c>
      <c r="W158" s="15">
        <f t="shared" si="2"/>
        <v>2.5</v>
      </c>
      <c r="X158" s="16">
        <v>2570</v>
      </c>
      <c r="Y158" s="15" t="s">
        <v>47</v>
      </c>
    </row>
    <row r="159" spans="1:25" ht="38.25" x14ac:dyDescent="0.2">
      <c r="A159" s="13">
        <v>156</v>
      </c>
      <c r="B159" s="13" t="s">
        <v>415</v>
      </c>
      <c r="C159" s="13" t="s">
        <v>503</v>
      </c>
      <c r="D159" s="13" t="s">
        <v>28</v>
      </c>
      <c r="E159" s="13" t="s">
        <v>703</v>
      </c>
      <c r="F159" s="14" t="s">
        <v>704</v>
      </c>
      <c r="G159" s="15">
        <v>4.8</v>
      </c>
      <c r="H159" s="16" t="s">
        <v>506</v>
      </c>
      <c r="I159" s="16">
        <v>2570</v>
      </c>
      <c r="J159" s="17"/>
      <c r="K159" s="17"/>
      <c r="L159" s="16" t="s">
        <v>133</v>
      </c>
      <c r="M159" s="16" t="s">
        <v>35</v>
      </c>
      <c r="N159" s="16" t="s">
        <v>71</v>
      </c>
      <c r="O159" s="15">
        <v>440156</v>
      </c>
      <c r="P159" s="15">
        <v>185280</v>
      </c>
      <c r="Q159" s="15" t="s">
        <v>787</v>
      </c>
      <c r="R159" s="30" t="s">
        <v>821</v>
      </c>
      <c r="S159" s="30" t="s">
        <v>822</v>
      </c>
      <c r="T159" s="15" t="s">
        <v>40</v>
      </c>
      <c r="U159" s="15">
        <v>1.6</v>
      </c>
      <c r="V159" s="15">
        <v>1</v>
      </c>
      <c r="W159" s="15">
        <f t="shared" si="2"/>
        <v>2.6</v>
      </c>
      <c r="X159" s="16">
        <v>2570</v>
      </c>
      <c r="Y159" s="15" t="s">
        <v>41</v>
      </c>
    </row>
    <row r="160" spans="1:25" x14ac:dyDescent="0.2">
      <c r="A160" s="13">
        <v>157</v>
      </c>
      <c r="B160" s="13" t="s">
        <v>415</v>
      </c>
      <c r="C160" s="13" t="s">
        <v>458</v>
      </c>
      <c r="D160" s="13" t="s">
        <v>28</v>
      </c>
      <c r="E160" s="13" t="s">
        <v>707</v>
      </c>
      <c r="F160" s="14" t="s">
        <v>708</v>
      </c>
      <c r="G160" s="15">
        <v>5.2</v>
      </c>
      <c r="H160" s="16" t="s">
        <v>461</v>
      </c>
      <c r="I160" s="16">
        <v>2570</v>
      </c>
      <c r="J160" s="17"/>
      <c r="K160" s="17"/>
      <c r="L160" s="16" t="s">
        <v>133</v>
      </c>
      <c r="M160" s="16" t="s">
        <v>84</v>
      </c>
      <c r="N160" s="16" t="s">
        <v>71</v>
      </c>
      <c r="O160" s="15">
        <v>102990</v>
      </c>
      <c r="P160" s="15">
        <v>0</v>
      </c>
      <c r="Q160" s="15" t="s">
        <v>37</v>
      </c>
      <c r="R160" s="31" t="s">
        <v>709</v>
      </c>
      <c r="S160" s="31" t="s">
        <v>710</v>
      </c>
      <c r="T160" s="15" t="s">
        <v>87</v>
      </c>
      <c r="U160" s="15">
        <v>0</v>
      </c>
      <c r="V160" s="15">
        <v>3</v>
      </c>
      <c r="W160" s="15">
        <f t="shared" si="2"/>
        <v>3</v>
      </c>
      <c r="X160" s="16">
        <v>2570</v>
      </c>
      <c r="Y160" s="15" t="s">
        <v>59</v>
      </c>
    </row>
    <row r="161" spans="1:26" x14ac:dyDescent="0.2">
      <c r="A161" s="13">
        <v>158</v>
      </c>
      <c r="B161" s="13" t="s">
        <v>415</v>
      </c>
      <c r="C161" s="13" t="s">
        <v>530</v>
      </c>
      <c r="D161" s="13" t="s">
        <v>28</v>
      </c>
      <c r="E161" s="13" t="s">
        <v>711</v>
      </c>
      <c r="F161" s="14" t="s">
        <v>712</v>
      </c>
      <c r="G161" s="15">
        <v>12</v>
      </c>
      <c r="H161" s="16" t="s">
        <v>427</v>
      </c>
      <c r="I161" s="16">
        <v>2570</v>
      </c>
      <c r="J161" s="17"/>
      <c r="K161" s="17"/>
      <c r="L161" s="16" t="s">
        <v>133</v>
      </c>
      <c r="M161" s="16" t="s">
        <v>134</v>
      </c>
      <c r="N161" s="16" t="s">
        <v>71</v>
      </c>
      <c r="O161" s="15">
        <v>54094</v>
      </c>
      <c r="P161" s="15">
        <v>69480</v>
      </c>
      <c r="Q161" s="15" t="s">
        <v>787</v>
      </c>
      <c r="R161" s="30" t="s">
        <v>824</v>
      </c>
      <c r="S161" s="30" t="s">
        <v>823</v>
      </c>
      <c r="T161" s="15" t="s">
        <v>453</v>
      </c>
      <c r="U161" s="15">
        <v>0.6</v>
      </c>
      <c r="V161" s="15">
        <v>0.2</v>
      </c>
      <c r="W161" s="15">
        <f t="shared" si="2"/>
        <v>0.8</v>
      </c>
      <c r="X161" s="16">
        <v>2570</v>
      </c>
      <c r="Y161" s="15" t="s">
        <v>59</v>
      </c>
    </row>
    <row r="162" spans="1:26" x14ac:dyDescent="0.2">
      <c r="A162" s="13">
        <v>159</v>
      </c>
      <c r="B162" s="13" t="s">
        <v>415</v>
      </c>
      <c r="C162" s="13" t="s">
        <v>715</v>
      </c>
      <c r="D162" s="13" t="s">
        <v>28</v>
      </c>
      <c r="E162" s="13" t="s">
        <v>716</v>
      </c>
      <c r="F162" s="14" t="s">
        <v>717</v>
      </c>
      <c r="G162" s="15">
        <v>5.6</v>
      </c>
      <c r="H162" s="16" t="s">
        <v>607</v>
      </c>
      <c r="I162" s="16">
        <v>2570</v>
      </c>
      <c r="J162" s="17"/>
      <c r="K162" s="17"/>
      <c r="L162" s="16" t="s">
        <v>133</v>
      </c>
      <c r="M162" s="16" t="s">
        <v>134</v>
      </c>
      <c r="N162" s="16" t="s">
        <v>71</v>
      </c>
      <c r="O162" s="15">
        <v>37720</v>
      </c>
      <c r="P162" s="15">
        <v>57900</v>
      </c>
      <c r="Q162" s="15" t="s">
        <v>787</v>
      </c>
      <c r="R162" s="30" t="s">
        <v>718</v>
      </c>
      <c r="S162" s="30" t="s">
        <v>719</v>
      </c>
      <c r="T162" s="15" t="s">
        <v>453</v>
      </c>
      <c r="U162" s="15">
        <v>0.5</v>
      </c>
      <c r="V162" s="15">
        <v>0</v>
      </c>
      <c r="W162" s="15">
        <f t="shared" si="2"/>
        <v>0.5</v>
      </c>
      <c r="X162" s="16">
        <v>2570</v>
      </c>
      <c r="Y162" s="15" t="s">
        <v>41</v>
      </c>
    </row>
    <row r="163" spans="1:26" x14ac:dyDescent="0.2">
      <c r="A163" s="13">
        <v>160</v>
      </c>
      <c r="B163" s="13" t="s">
        <v>415</v>
      </c>
      <c r="C163" s="13" t="s">
        <v>617</v>
      </c>
      <c r="D163" s="13" t="s">
        <v>28</v>
      </c>
      <c r="E163" s="13" t="s">
        <v>720</v>
      </c>
      <c r="F163" s="14" t="s">
        <v>721</v>
      </c>
      <c r="G163" s="15">
        <v>9.1999999999999993</v>
      </c>
      <c r="H163" s="16" t="s">
        <v>56</v>
      </c>
      <c r="I163" s="16">
        <v>2570</v>
      </c>
      <c r="J163" s="17"/>
      <c r="K163" s="17"/>
      <c r="L163" s="16" t="s">
        <v>69</v>
      </c>
      <c r="M163" s="16" t="s">
        <v>70</v>
      </c>
      <c r="N163" s="16" t="s">
        <v>71</v>
      </c>
      <c r="O163" s="15">
        <v>0</v>
      </c>
      <c r="P163" s="15">
        <v>0</v>
      </c>
      <c r="Q163" s="15" t="s">
        <v>69</v>
      </c>
      <c r="R163" s="30" t="s">
        <v>783</v>
      </c>
      <c r="S163" s="30" t="s">
        <v>784</v>
      </c>
      <c r="T163" s="15" t="s">
        <v>69</v>
      </c>
      <c r="U163" s="15">
        <v>0</v>
      </c>
      <c r="V163" s="15">
        <v>0</v>
      </c>
      <c r="W163" s="15">
        <f t="shared" si="2"/>
        <v>0</v>
      </c>
      <c r="X163" s="16" t="s">
        <v>69</v>
      </c>
      <c r="Y163" s="15" t="s">
        <v>69</v>
      </c>
    </row>
    <row r="164" spans="1:26" x14ac:dyDescent="0.2">
      <c r="A164" s="13">
        <v>161</v>
      </c>
      <c r="B164" s="13" t="s">
        <v>415</v>
      </c>
      <c r="C164" s="13" t="s">
        <v>722</v>
      </c>
      <c r="D164" s="13" t="s">
        <v>28</v>
      </c>
      <c r="E164" s="13" t="s">
        <v>723</v>
      </c>
      <c r="F164" s="14" t="s">
        <v>724</v>
      </c>
      <c r="G164" s="15">
        <v>5.6</v>
      </c>
      <c r="H164" s="16" t="s">
        <v>527</v>
      </c>
      <c r="I164" s="16">
        <v>2570</v>
      </c>
      <c r="J164" s="17"/>
      <c r="K164" s="17"/>
      <c r="L164" s="16" t="s">
        <v>34</v>
      </c>
      <c r="M164" s="16" t="s">
        <v>84</v>
      </c>
      <c r="N164" s="16" t="s">
        <v>71</v>
      </c>
      <c r="O164" s="15">
        <v>141340</v>
      </c>
      <c r="P164" s="15">
        <v>0</v>
      </c>
      <c r="Q164" s="15" t="s">
        <v>37</v>
      </c>
      <c r="R164" s="30" t="s">
        <v>725</v>
      </c>
      <c r="S164" s="30" t="s">
        <v>726</v>
      </c>
      <c r="T164" s="15" t="s">
        <v>53</v>
      </c>
      <c r="U164" s="15">
        <v>0</v>
      </c>
      <c r="V164" s="15">
        <v>2</v>
      </c>
      <c r="W164" s="15">
        <f t="shared" si="2"/>
        <v>2</v>
      </c>
      <c r="X164" s="16">
        <v>2568</v>
      </c>
      <c r="Y164" s="15" t="s">
        <v>59</v>
      </c>
    </row>
    <row r="165" spans="1:26" x14ac:dyDescent="0.2">
      <c r="A165" s="13">
        <v>162</v>
      </c>
      <c r="B165" s="13" t="s">
        <v>415</v>
      </c>
      <c r="C165" s="13" t="s">
        <v>727</v>
      </c>
      <c r="D165" s="13" t="s">
        <v>28</v>
      </c>
      <c r="E165" s="13" t="s">
        <v>728</v>
      </c>
      <c r="F165" s="14" t="s">
        <v>729</v>
      </c>
      <c r="G165" s="15">
        <v>24</v>
      </c>
      <c r="H165" s="16" t="s">
        <v>607</v>
      </c>
      <c r="I165" s="16">
        <v>2570</v>
      </c>
      <c r="J165" s="17"/>
      <c r="K165" s="17"/>
      <c r="L165" s="16" t="s">
        <v>133</v>
      </c>
      <c r="M165" s="16" t="s">
        <v>134</v>
      </c>
      <c r="N165" s="16" t="s">
        <v>71</v>
      </c>
      <c r="O165" s="15">
        <v>2150610</v>
      </c>
      <c r="P165" s="15">
        <v>1273800</v>
      </c>
      <c r="Q165" s="15" t="s">
        <v>787</v>
      </c>
      <c r="R165" s="30" t="s">
        <v>730</v>
      </c>
      <c r="S165" s="30" t="s">
        <v>731</v>
      </c>
      <c r="T165" s="15" t="s">
        <v>40</v>
      </c>
      <c r="U165" s="15">
        <v>11</v>
      </c>
      <c r="V165" s="15">
        <v>0</v>
      </c>
      <c r="W165" s="15">
        <f t="shared" si="2"/>
        <v>11</v>
      </c>
      <c r="X165" s="16">
        <v>2570</v>
      </c>
      <c r="Y165" s="15" t="s">
        <v>47</v>
      </c>
    </row>
    <row r="166" spans="1:26" x14ac:dyDescent="0.2">
      <c r="A166" s="13">
        <v>163</v>
      </c>
      <c r="B166" s="13" t="s">
        <v>415</v>
      </c>
      <c r="C166" s="13" t="s">
        <v>732</v>
      </c>
      <c r="D166" s="13" t="s">
        <v>28</v>
      </c>
      <c r="E166" s="13" t="s">
        <v>733</v>
      </c>
      <c r="F166" s="14" t="s">
        <v>734</v>
      </c>
      <c r="G166" s="15">
        <v>1.6</v>
      </c>
      <c r="H166" s="16" t="s">
        <v>607</v>
      </c>
      <c r="I166" s="16">
        <v>2570</v>
      </c>
      <c r="J166" s="17"/>
      <c r="K166" s="17"/>
      <c r="L166" s="16" t="s">
        <v>133</v>
      </c>
      <c r="M166" s="16" t="s">
        <v>134</v>
      </c>
      <c r="N166" s="16" t="s">
        <v>71</v>
      </c>
      <c r="O166" s="15">
        <v>175959</v>
      </c>
      <c r="P166" s="15">
        <v>104220</v>
      </c>
      <c r="Q166" s="15" t="s">
        <v>787</v>
      </c>
      <c r="R166" s="30" t="s">
        <v>735</v>
      </c>
      <c r="S166" s="30" t="s">
        <v>736</v>
      </c>
      <c r="T166" s="15" t="s">
        <v>40</v>
      </c>
      <c r="U166" s="15">
        <v>0.9</v>
      </c>
      <c r="V166" s="15">
        <v>0</v>
      </c>
      <c r="W166" s="15">
        <f t="shared" si="2"/>
        <v>0.9</v>
      </c>
      <c r="X166" s="16">
        <v>2570</v>
      </c>
      <c r="Y166" s="15" t="s">
        <v>47</v>
      </c>
    </row>
    <row r="167" spans="1:26" x14ac:dyDescent="0.2">
      <c r="A167" s="13">
        <v>164</v>
      </c>
      <c r="B167" s="13" t="s">
        <v>415</v>
      </c>
      <c r="C167" s="13" t="s">
        <v>503</v>
      </c>
      <c r="D167" s="13" t="s">
        <v>28</v>
      </c>
      <c r="E167" s="13" t="s">
        <v>737</v>
      </c>
      <c r="F167" s="14" t="s">
        <v>738</v>
      </c>
      <c r="G167" s="15">
        <v>2.8</v>
      </c>
      <c r="H167" s="16" t="s">
        <v>506</v>
      </c>
      <c r="I167" s="16">
        <v>2570</v>
      </c>
      <c r="J167" s="17"/>
      <c r="K167" s="17"/>
      <c r="L167" s="16" t="s">
        <v>133</v>
      </c>
      <c r="M167" s="16" t="s">
        <v>35</v>
      </c>
      <c r="N167" s="16" t="s">
        <v>71</v>
      </c>
      <c r="O167" s="15">
        <v>188542</v>
      </c>
      <c r="P167" s="15">
        <v>115800</v>
      </c>
      <c r="Q167" s="15" t="s">
        <v>787</v>
      </c>
      <c r="R167" s="30" t="s">
        <v>739</v>
      </c>
      <c r="S167" s="30" t="s">
        <v>740</v>
      </c>
      <c r="T167" s="15" t="s">
        <v>53</v>
      </c>
      <c r="U167" s="15">
        <v>1</v>
      </c>
      <c r="V167" s="15">
        <v>1</v>
      </c>
      <c r="W167" s="15">
        <f t="shared" si="2"/>
        <v>2</v>
      </c>
      <c r="X167" s="16">
        <v>2570</v>
      </c>
      <c r="Y167" s="15" t="s">
        <v>41</v>
      </c>
    </row>
    <row r="168" spans="1:26" x14ac:dyDescent="0.2">
      <c r="A168" s="13">
        <v>165</v>
      </c>
      <c r="B168" s="13" t="s">
        <v>415</v>
      </c>
      <c r="C168" s="13" t="s">
        <v>693</v>
      </c>
      <c r="D168" s="13" t="s">
        <v>28</v>
      </c>
      <c r="E168" s="13" t="s">
        <v>741</v>
      </c>
      <c r="F168" s="14" t="s">
        <v>742</v>
      </c>
      <c r="G168" s="15">
        <v>2</v>
      </c>
      <c r="H168" s="16" t="s">
        <v>419</v>
      </c>
      <c r="I168" s="16">
        <v>2570</v>
      </c>
      <c r="J168" s="17"/>
      <c r="K168" s="17"/>
      <c r="L168" s="16" t="s">
        <v>34</v>
      </c>
      <c r="M168" s="16" t="s">
        <v>134</v>
      </c>
      <c r="N168" s="16" t="s">
        <v>71</v>
      </c>
      <c r="O168" s="15">
        <v>103388</v>
      </c>
      <c r="P168" s="15">
        <v>23160</v>
      </c>
      <c r="Q168" s="15" t="s">
        <v>37</v>
      </c>
      <c r="R168" s="30" t="s">
        <v>743</v>
      </c>
      <c r="S168" s="30" t="s">
        <v>744</v>
      </c>
      <c r="T168" s="15" t="s">
        <v>453</v>
      </c>
      <c r="U168" s="15">
        <v>0.2</v>
      </c>
      <c r="V168" s="15">
        <v>2</v>
      </c>
      <c r="W168" s="15">
        <f t="shared" si="2"/>
        <v>2.2000000000000002</v>
      </c>
      <c r="X168" s="16">
        <v>2568</v>
      </c>
      <c r="Y168" s="15" t="s">
        <v>41</v>
      </c>
    </row>
    <row r="169" spans="1:26" ht="25.5" x14ac:dyDescent="0.2">
      <c r="A169" s="13">
        <v>166</v>
      </c>
      <c r="B169" s="13" t="s">
        <v>415</v>
      </c>
      <c r="C169" s="13" t="s">
        <v>745</v>
      </c>
      <c r="D169" s="13" t="s">
        <v>28</v>
      </c>
      <c r="E169" s="13" t="s">
        <v>746</v>
      </c>
      <c r="F169" s="14" t="s">
        <v>747</v>
      </c>
      <c r="G169" s="15">
        <v>10</v>
      </c>
      <c r="H169" s="16" t="s">
        <v>613</v>
      </c>
      <c r="I169" s="16">
        <v>2570</v>
      </c>
      <c r="J169" s="17"/>
      <c r="K169" s="17"/>
      <c r="L169" s="16" t="s">
        <v>133</v>
      </c>
      <c r="M169" s="16" t="s">
        <v>134</v>
      </c>
      <c r="N169" s="16" t="s">
        <v>71</v>
      </c>
      <c r="O169" s="15">
        <v>69220.5</v>
      </c>
      <c r="P169" s="15">
        <v>104220</v>
      </c>
      <c r="Q169" s="15" t="s">
        <v>787</v>
      </c>
      <c r="R169" s="30" t="s">
        <v>748</v>
      </c>
      <c r="S169" s="30" t="s">
        <v>749</v>
      </c>
      <c r="T169" s="15" t="s">
        <v>453</v>
      </c>
      <c r="U169" s="15">
        <v>0.9</v>
      </c>
      <c r="V169" s="15">
        <v>0.03</v>
      </c>
      <c r="W169" s="15">
        <f t="shared" si="2"/>
        <v>0.93</v>
      </c>
      <c r="X169" s="16">
        <v>2570</v>
      </c>
      <c r="Y169" s="15" t="s">
        <v>59</v>
      </c>
    </row>
    <row r="170" spans="1:26" x14ac:dyDescent="0.2">
      <c r="A170" s="13">
        <v>167</v>
      </c>
      <c r="B170" s="13" t="s">
        <v>415</v>
      </c>
      <c r="C170" s="13" t="s">
        <v>458</v>
      </c>
      <c r="D170" s="13" t="s">
        <v>28</v>
      </c>
      <c r="E170" s="13" t="s">
        <v>750</v>
      </c>
      <c r="F170" s="14" t="s">
        <v>751</v>
      </c>
      <c r="G170" s="15">
        <v>12.8</v>
      </c>
      <c r="H170" s="16" t="s">
        <v>461</v>
      </c>
      <c r="I170" s="16">
        <v>2570</v>
      </c>
      <c r="J170" s="17"/>
      <c r="K170" s="17"/>
      <c r="L170" s="16" t="s">
        <v>133</v>
      </c>
      <c r="M170" s="16" t="s">
        <v>134</v>
      </c>
      <c r="N170" s="16" t="s">
        <v>71</v>
      </c>
      <c r="O170" s="15">
        <v>1307542.5</v>
      </c>
      <c r="P170" s="15">
        <v>468990</v>
      </c>
      <c r="Q170" s="15" t="s">
        <v>37</v>
      </c>
      <c r="R170" s="31" t="s">
        <v>752</v>
      </c>
      <c r="S170" s="31" t="s">
        <v>753</v>
      </c>
      <c r="T170" s="15" t="s">
        <v>40</v>
      </c>
      <c r="U170" s="15">
        <v>4.05</v>
      </c>
      <c r="V170" s="15">
        <v>4.05</v>
      </c>
      <c r="W170" s="15">
        <f t="shared" si="2"/>
        <v>8.1</v>
      </c>
      <c r="X170" s="16">
        <v>2570</v>
      </c>
      <c r="Y170" s="15" t="s">
        <v>41</v>
      </c>
    </row>
    <row r="171" spans="1:26" x14ac:dyDescent="0.2">
      <c r="A171" s="13">
        <v>168</v>
      </c>
      <c r="B171" s="13" t="s">
        <v>415</v>
      </c>
      <c r="C171" s="13" t="s">
        <v>465</v>
      </c>
      <c r="D171" s="13" t="s">
        <v>28</v>
      </c>
      <c r="E171" s="13" t="s">
        <v>754</v>
      </c>
      <c r="F171" s="14" t="s">
        <v>755</v>
      </c>
      <c r="G171" s="15">
        <v>10</v>
      </c>
      <c r="H171" s="16" t="s">
        <v>468</v>
      </c>
      <c r="I171" s="16">
        <v>2570</v>
      </c>
      <c r="J171" s="17"/>
      <c r="K171" s="17"/>
      <c r="L171" s="16" t="s">
        <v>133</v>
      </c>
      <c r="M171" s="16" t="s">
        <v>35</v>
      </c>
      <c r="N171" s="16" t="s">
        <v>71</v>
      </c>
      <c r="O171" s="15">
        <v>195510</v>
      </c>
      <c r="P171" s="15">
        <v>115800</v>
      </c>
      <c r="Q171" s="15" t="s">
        <v>787</v>
      </c>
      <c r="R171" s="30" t="s">
        <v>756</v>
      </c>
      <c r="S171" s="30" t="s">
        <v>757</v>
      </c>
      <c r="T171" s="15" t="s">
        <v>40</v>
      </c>
      <c r="U171" s="15">
        <v>1</v>
      </c>
      <c r="V171" s="15">
        <v>0</v>
      </c>
      <c r="W171" s="15">
        <f t="shared" si="2"/>
        <v>1</v>
      </c>
      <c r="X171" s="16">
        <v>2570</v>
      </c>
      <c r="Y171" s="15" t="s">
        <v>47</v>
      </c>
    </row>
    <row r="172" spans="1:26" x14ac:dyDescent="0.2">
      <c r="A172" s="13">
        <v>169</v>
      </c>
      <c r="B172" s="13" t="s">
        <v>415</v>
      </c>
      <c r="C172" s="13" t="s">
        <v>503</v>
      </c>
      <c r="D172" s="13" t="s">
        <v>28</v>
      </c>
      <c r="E172" s="13" t="s">
        <v>758</v>
      </c>
      <c r="F172" s="14" t="s">
        <v>759</v>
      </c>
      <c r="G172" s="15">
        <v>0.6</v>
      </c>
      <c r="H172" s="16" t="s">
        <v>506</v>
      </c>
      <c r="I172" s="16">
        <v>2570</v>
      </c>
      <c r="J172" s="17"/>
      <c r="K172" s="17"/>
      <c r="L172" s="15" t="s">
        <v>69</v>
      </c>
      <c r="M172" s="16" t="s">
        <v>70</v>
      </c>
      <c r="N172" s="16" t="s">
        <v>71</v>
      </c>
      <c r="O172" s="15">
        <v>0</v>
      </c>
      <c r="P172" s="15">
        <v>0</v>
      </c>
      <c r="Q172" s="15" t="s">
        <v>69</v>
      </c>
      <c r="R172" s="30" t="s">
        <v>760</v>
      </c>
      <c r="S172" s="30" t="s">
        <v>761</v>
      </c>
      <c r="T172" s="15" t="s">
        <v>69</v>
      </c>
      <c r="U172" s="15">
        <v>0</v>
      </c>
      <c r="V172" s="15">
        <v>0</v>
      </c>
      <c r="W172" s="15">
        <f t="shared" si="2"/>
        <v>0</v>
      </c>
      <c r="X172" s="16" t="s">
        <v>69</v>
      </c>
      <c r="Y172" s="15" t="s">
        <v>69</v>
      </c>
      <c r="Z172" s="27" t="s">
        <v>603</v>
      </c>
    </row>
    <row r="173" spans="1:26" x14ac:dyDescent="0.2">
      <c r="A173" s="13">
        <v>170</v>
      </c>
      <c r="B173" s="13" t="s">
        <v>415</v>
      </c>
      <c r="C173" s="13" t="s">
        <v>693</v>
      </c>
      <c r="D173" s="13" t="s">
        <v>28</v>
      </c>
      <c r="E173" s="13" t="s">
        <v>762</v>
      </c>
      <c r="F173" s="14" t="s">
        <v>763</v>
      </c>
      <c r="G173" s="15">
        <v>0.64</v>
      </c>
      <c r="H173" s="16" t="s">
        <v>419</v>
      </c>
      <c r="I173" s="16">
        <v>2570</v>
      </c>
      <c r="J173" s="17"/>
      <c r="K173" s="17"/>
      <c r="L173" s="15" t="s">
        <v>69</v>
      </c>
      <c r="M173" s="16" t="s">
        <v>70</v>
      </c>
      <c r="N173" s="16" t="s">
        <v>71</v>
      </c>
      <c r="O173" s="15">
        <v>0</v>
      </c>
      <c r="P173" s="15">
        <v>0</v>
      </c>
      <c r="Q173" s="15" t="s">
        <v>69</v>
      </c>
      <c r="R173" s="30" t="s">
        <v>764</v>
      </c>
      <c r="S173" s="30" t="s">
        <v>765</v>
      </c>
      <c r="T173" s="15" t="s">
        <v>69</v>
      </c>
      <c r="U173" s="15">
        <v>0</v>
      </c>
      <c r="V173" s="15">
        <v>0</v>
      </c>
      <c r="W173" s="15">
        <f t="shared" si="2"/>
        <v>0</v>
      </c>
      <c r="X173" s="16" t="s">
        <v>69</v>
      </c>
      <c r="Y173" s="15" t="s">
        <v>69</v>
      </c>
    </row>
    <row r="174" spans="1:26" x14ac:dyDescent="0.2">
      <c r="A174" s="13">
        <v>171</v>
      </c>
      <c r="B174" s="13" t="s">
        <v>415</v>
      </c>
      <c r="C174" s="13" t="s">
        <v>458</v>
      </c>
      <c r="D174" s="13" t="s">
        <v>28</v>
      </c>
      <c r="E174" s="13" t="s">
        <v>766</v>
      </c>
      <c r="F174" s="14" t="s">
        <v>767</v>
      </c>
      <c r="G174" s="15">
        <v>4.8</v>
      </c>
      <c r="H174" s="16" t="s">
        <v>461</v>
      </c>
      <c r="I174" s="16">
        <v>2570</v>
      </c>
      <c r="J174" s="17"/>
      <c r="K174" s="17"/>
      <c r="L174" s="16" t="s">
        <v>133</v>
      </c>
      <c r="M174" s="16" t="s">
        <v>134</v>
      </c>
      <c r="N174" s="16" t="s">
        <v>71</v>
      </c>
      <c r="O174" s="15">
        <v>2541630</v>
      </c>
      <c r="P174" s="15">
        <v>1505400</v>
      </c>
      <c r="Q174" s="15" t="s">
        <v>37</v>
      </c>
      <c r="R174" s="30" t="s">
        <v>768</v>
      </c>
      <c r="S174" s="31" t="s">
        <v>769</v>
      </c>
      <c r="T174" s="15" t="s">
        <v>40</v>
      </c>
      <c r="U174" s="15">
        <v>13</v>
      </c>
      <c r="V174" s="15">
        <v>0</v>
      </c>
      <c r="W174" s="15">
        <f t="shared" si="2"/>
        <v>13</v>
      </c>
      <c r="X174" s="16">
        <v>2570</v>
      </c>
      <c r="Y174" s="15" t="s">
        <v>59</v>
      </c>
    </row>
    <row r="175" spans="1:26" ht="25.5" x14ac:dyDescent="0.2">
      <c r="A175" s="13">
        <v>172</v>
      </c>
      <c r="B175" s="13" t="s">
        <v>415</v>
      </c>
      <c r="C175" s="13" t="s">
        <v>503</v>
      </c>
      <c r="D175" s="13" t="s">
        <v>28</v>
      </c>
      <c r="E175" s="13" t="s">
        <v>770</v>
      </c>
      <c r="F175" s="14" t="s">
        <v>771</v>
      </c>
      <c r="G175" s="15">
        <v>7.2</v>
      </c>
      <c r="H175" s="16" t="s">
        <v>506</v>
      </c>
      <c r="I175" s="16">
        <v>2570</v>
      </c>
      <c r="J175" s="17"/>
      <c r="K175" s="17"/>
      <c r="L175" s="16" t="s">
        <v>133</v>
      </c>
      <c r="M175" s="16" t="s">
        <v>134</v>
      </c>
      <c r="N175" s="16" t="s">
        <v>71</v>
      </c>
      <c r="O175" s="15">
        <v>506823</v>
      </c>
      <c r="P175" s="15">
        <v>463200</v>
      </c>
      <c r="Q175" s="15" t="s">
        <v>787</v>
      </c>
      <c r="R175" s="30" t="s">
        <v>772</v>
      </c>
      <c r="S175" s="30" t="s">
        <v>773</v>
      </c>
      <c r="T175" s="15" t="s">
        <v>53</v>
      </c>
      <c r="U175" s="15">
        <v>4</v>
      </c>
      <c r="V175" s="15">
        <v>0.5</v>
      </c>
      <c r="W175" s="15">
        <f t="shared" si="2"/>
        <v>4.5</v>
      </c>
      <c r="X175" s="16">
        <v>2570</v>
      </c>
      <c r="Y175" s="15" t="s">
        <v>47</v>
      </c>
    </row>
  </sheetData>
  <autoFilter ref="A3:Y175" xr:uid="{CF0387AD-5C38-4694-BEAC-701C18F40BE6}"/>
  <conditionalFormatting sqref="E4:E175">
    <cfRule type="duplicateValues" dxfId="1" priority="2"/>
  </conditionalFormatting>
  <dataValidations count="4">
    <dataValidation type="list" allowBlank="1" showInputMessage="1" showErrorMessage="1" sqref="X4:X175" xr:uid="{27E04D1D-4601-4FB7-BD3D-19A1E17E8392}">
      <formula1>"2567,2568,2569,2570,2571,2572,n/a"</formula1>
    </dataValidation>
    <dataValidation type="list" allowBlank="1" showInputMessage="1" showErrorMessage="1" sqref="Y4:Y175" xr:uid="{5C1B55B0-11FD-47EE-BBD3-68CF0EF92EED}">
      <formula1>"Q1,Q2,Q3,Q4,n/a"</formula1>
    </dataValidation>
    <dataValidation type="list" allowBlank="1" showInputMessage="1" sqref="T4:T175" xr:uid="{263E6C13-BF8F-4638-BC63-BAF571D4DE0C}">
      <formula1>"2C,12C,24C,60C,144C,216C,n/a"</formula1>
    </dataValidation>
    <dataValidation type="list" allowBlank="1" showInputMessage="1" sqref="M4:M175" xr:uid="{05FBC130-8418-4C69-AC71-573DCF473662}">
      <formula1>"ไม่มีโครงข่าย,ลงใต้ดิน,Re-route,ลงใต้ดิน+Re-route"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E2CA4-C2D1-4E36-8CDC-714BDBC88A8E}">
  <sheetPr>
    <tabColor theme="7" tint="0.59999389629810485"/>
  </sheetPr>
  <dimension ref="A1:AI177"/>
  <sheetViews>
    <sheetView showGridLines="0" zoomScale="70" zoomScaleNormal="70" workbookViewId="0">
      <pane xSplit="7" ySplit="3" topLeftCell="H101" activePane="bottomRight" state="frozen"/>
      <selection pane="topRight" activeCell="H1" sqref="H1"/>
      <selection pane="bottomLeft" activeCell="A4" sqref="A4"/>
      <selection pane="bottomRight" activeCell="H109" sqref="H109"/>
    </sheetView>
  </sheetViews>
  <sheetFormatPr defaultColWidth="9" defaultRowHeight="18.75" x14ac:dyDescent="0.2"/>
  <cols>
    <col min="1" max="1" width="9" style="34" customWidth="1"/>
    <col min="2" max="2" width="19.5" style="34" hidden="1" customWidth="1"/>
    <col min="3" max="3" width="15.875" style="34" customWidth="1"/>
    <col min="4" max="4" width="12.5" style="34" customWidth="1"/>
    <col min="5" max="5" width="17" style="34" customWidth="1"/>
    <col min="6" max="6" width="54.375" style="35" customWidth="1"/>
    <col min="7" max="9" width="9" style="34" customWidth="1"/>
    <col min="10" max="10" width="11" style="34" customWidth="1"/>
    <col min="11" max="11" width="11.875" style="34" customWidth="1"/>
    <col min="12" max="12" width="15.25" style="34" customWidth="1"/>
    <col min="13" max="13" width="13.5" style="34" customWidth="1"/>
    <col min="14" max="14" width="9" style="34" customWidth="1"/>
    <col min="15" max="15" width="12.5" style="34" customWidth="1"/>
    <col min="16" max="16" width="12" style="34" customWidth="1"/>
    <col min="17" max="17" width="13.5" style="34" customWidth="1"/>
    <col min="18" max="18" width="35.625" style="35" customWidth="1"/>
    <col min="19" max="19" width="40.875" style="35" customWidth="1"/>
    <col min="20" max="29" width="11" style="34" customWidth="1"/>
    <col min="30" max="30" width="13.25" style="34" customWidth="1"/>
    <col min="31" max="31" width="16.75" style="34" customWidth="1"/>
    <col min="32" max="32" width="15.5" style="34" customWidth="1"/>
    <col min="33" max="34" width="12.25" style="34" customWidth="1"/>
    <col min="35" max="35" width="17.75" style="34" bestFit="1" customWidth="1"/>
    <col min="36" max="16384" width="9" style="34"/>
  </cols>
  <sheetData>
    <row r="1" spans="1:34" x14ac:dyDescent="0.2">
      <c r="A1" s="36">
        <v>0.95</v>
      </c>
      <c r="B1" s="36">
        <v>0.15</v>
      </c>
      <c r="C1" s="37"/>
      <c r="D1" s="37"/>
      <c r="E1" s="37"/>
      <c r="F1" s="38"/>
      <c r="G1" s="39">
        <f>SUBTOTAL(9,G4:G201)</f>
        <v>961.0100000000001</v>
      </c>
      <c r="H1" s="37"/>
      <c r="I1" s="37"/>
      <c r="J1" s="37"/>
      <c r="K1" s="37"/>
      <c r="L1" s="40">
        <f>SUBTOTAL(3,L4:L201)</f>
        <v>172</v>
      </c>
      <c r="M1" s="40">
        <f>SUBTOTAL(3,M4:M201)</f>
        <v>172</v>
      </c>
      <c r="N1" s="40">
        <f>SUBTOTAL(3,N4:N201)</f>
        <v>172</v>
      </c>
      <c r="O1" s="39">
        <f>SUBTOTAL(9,O4:O201)</f>
        <v>96426913.3588074</v>
      </c>
      <c r="P1" s="39">
        <f>SUBTOTAL(9,P4:P201)</f>
        <v>50705469.59857285</v>
      </c>
      <c r="Q1" s="39">
        <f>SUBTOTAL(9,Q4:Q201)</f>
        <v>0</v>
      </c>
      <c r="R1" s="41"/>
      <c r="T1" s="40">
        <f>SUBTOTAL(3,T4:T201)</f>
        <v>172</v>
      </c>
      <c r="U1" s="40">
        <f t="shared" ref="U1:W1" si="0">SUBTOTAL(3,U4:U201)</f>
        <v>7</v>
      </c>
      <c r="V1" s="40">
        <f t="shared" si="0"/>
        <v>20</v>
      </c>
      <c r="W1" s="40">
        <f t="shared" si="0"/>
        <v>61</v>
      </c>
      <c r="X1" s="40">
        <f>SUBTOTAL(3,X4:X201)</f>
        <v>64</v>
      </c>
      <c r="Y1" s="40">
        <f>SUBTOTAL(3,Y4:Y201)</f>
        <v>6</v>
      </c>
      <c r="Z1" s="40"/>
      <c r="AA1" s="73"/>
      <c r="AB1" s="73"/>
      <c r="AC1" s="73"/>
      <c r="AD1" s="39">
        <f>SUBTOTAL(9,AD4:AD201)</f>
        <v>633.92750000000001</v>
      </c>
      <c r="AE1" s="39">
        <f>SUBTOTAL(9,AE4:AE201)</f>
        <v>182.92749999999998</v>
      </c>
      <c r="AF1" s="39">
        <f>SUBTOTAL(9,AF4:AF201)</f>
        <v>814.35500000000002</v>
      </c>
      <c r="AG1" s="40">
        <f>SUBTOTAL(3,AG4:AG201)</f>
        <v>172</v>
      </c>
      <c r="AH1" s="40">
        <f>SUBTOTAL(3,AH4:AH201)</f>
        <v>172</v>
      </c>
    </row>
    <row r="2" spans="1:34" x14ac:dyDescent="0.2">
      <c r="A2" s="37"/>
      <c r="B2" s="37"/>
      <c r="C2" s="37"/>
      <c r="D2" s="37"/>
      <c r="E2" s="37"/>
      <c r="F2" s="41"/>
      <c r="G2" s="39"/>
      <c r="H2" s="37"/>
      <c r="I2" s="37"/>
      <c r="J2" s="37"/>
      <c r="K2" s="37"/>
      <c r="L2" s="40"/>
      <c r="M2" s="40"/>
      <c r="N2" s="40"/>
      <c r="O2" s="39"/>
      <c r="P2" s="39"/>
      <c r="Q2" s="39"/>
      <c r="R2" s="42" t="s">
        <v>0</v>
      </c>
      <c r="S2" s="42" t="s">
        <v>0</v>
      </c>
      <c r="T2" s="43" t="s">
        <v>0</v>
      </c>
      <c r="U2" s="43"/>
      <c r="V2" s="43"/>
      <c r="W2" s="43"/>
      <c r="X2" s="43"/>
      <c r="Y2" s="43"/>
      <c r="Z2" s="43"/>
      <c r="AA2" s="74"/>
      <c r="AB2" s="74"/>
      <c r="AC2" s="74"/>
      <c r="AD2" s="43" t="s">
        <v>0</v>
      </c>
      <c r="AE2" s="43" t="s">
        <v>0</v>
      </c>
      <c r="AF2" s="44"/>
      <c r="AG2" s="43" t="s">
        <v>0</v>
      </c>
      <c r="AH2" s="43" t="s">
        <v>0</v>
      </c>
    </row>
    <row r="3" spans="1:34" ht="25.5" x14ac:dyDescent="0.2">
      <c r="A3" s="45" t="s">
        <v>1</v>
      </c>
      <c r="B3" s="45" t="s">
        <v>2</v>
      </c>
      <c r="C3" s="45" t="s">
        <v>3</v>
      </c>
      <c r="D3" s="45" t="s">
        <v>4</v>
      </c>
      <c r="E3" s="45" t="s">
        <v>5</v>
      </c>
      <c r="F3" s="45" t="s">
        <v>6</v>
      </c>
      <c r="G3" s="46" t="s">
        <v>7</v>
      </c>
      <c r="H3" s="45" t="s">
        <v>8</v>
      </c>
      <c r="I3" s="45" t="s">
        <v>9</v>
      </c>
      <c r="J3" s="47" t="s">
        <v>10</v>
      </c>
      <c r="K3" s="47" t="s">
        <v>11</v>
      </c>
      <c r="L3" s="47" t="s">
        <v>12</v>
      </c>
      <c r="M3" s="48" t="s">
        <v>13</v>
      </c>
      <c r="N3" s="48" t="s">
        <v>14</v>
      </c>
      <c r="O3" s="49" t="s">
        <v>15</v>
      </c>
      <c r="P3" s="49" t="s">
        <v>16</v>
      </c>
      <c r="Q3" s="66" t="s">
        <v>17</v>
      </c>
      <c r="R3" s="50" t="s">
        <v>18</v>
      </c>
      <c r="S3" s="50" t="s">
        <v>19</v>
      </c>
      <c r="T3" s="51" t="s">
        <v>20</v>
      </c>
      <c r="U3" s="51" t="s">
        <v>87</v>
      </c>
      <c r="V3" s="51" t="s">
        <v>453</v>
      </c>
      <c r="W3" s="51" t="s">
        <v>53</v>
      </c>
      <c r="X3" s="51" t="s">
        <v>40</v>
      </c>
      <c r="Y3" s="51" t="s">
        <v>185</v>
      </c>
      <c r="Z3" s="71" t="s">
        <v>788</v>
      </c>
      <c r="AA3" s="75" t="s">
        <v>789</v>
      </c>
      <c r="AB3" s="75" t="s">
        <v>790</v>
      </c>
      <c r="AC3" s="76" t="s">
        <v>791</v>
      </c>
      <c r="AD3" s="51" t="s">
        <v>21</v>
      </c>
      <c r="AE3" s="51" t="s">
        <v>22</v>
      </c>
      <c r="AF3" s="51" t="s">
        <v>23</v>
      </c>
      <c r="AG3" s="51" t="s">
        <v>24</v>
      </c>
      <c r="AH3" s="51" t="s">
        <v>25</v>
      </c>
    </row>
    <row r="4" spans="1:34" x14ac:dyDescent="0.2">
      <c r="A4" s="52">
        <v>1</v>
      </c>
      <c r="B4" s="52" t="s">
        <v>26</v>
      </c>
      <c r="C4" s="52" t="s">
        <v>27</v>
      </c>
      <c r="D4" s="52" t="s">
        <v>28</v>
      </c>
      <c r="E4" s="52" t="s">
        <v>29</v>
      </c>
      <c r="F4" s="53" t="s">
        <v>30</v>
      </c>
      <c r="G4" s="54">
        <v>3.6</v>
      </c>
      <c r="H4" s="55" t="s">
        <v>31</v>
      </c>
      <c r="I4" s="55">
        <v>2569</v>
      </c>
      <c r="J4" s="56" t="s">
        <v>32</v>
      </c>
      <c r="K4" s="56" t="s">
        <v>33</v>
      </c>
      <c r="L4" s="55" t="s">
        <v>34</v>
      </c>
      <c r="M4" s="55" t="s">
        <v>35</v>
      </c>
      <c r="N4" s="55" t="s">
        <v>36</v>
      </c>
      <c r="O4" s="54">
        <v>574206.00333333295</v>
      </c>
      <c r="P4" s="54">
        <v>185280</v>
      </c>
      <c r="Q4" s="54" t="s">
        <v>37</v>
      </c>
      <c r="R4" s="30" t="s">
        <v>38</v>
      </c>
      <c r="S4" s="30" t="s">
        <v>39</v>
      </c>
      <c r="T4" s="54" t="s">
        <v>40</v>
      </c>
      <c r="U4" s="54"/>
      <c r="V4" s="54"/>
      <c r="W4" s="54"/>
      <c r="X4" s="54">
        <f>AF4</f>
        <v>3.96</v>
      </c>
      <c r="Y4" s="54"/>
      <c r="Z4" s="72" cm="1">
        <f t="array" ref="Z4">_xlfn.LET(
_xlpm.a,IF(ISNUMBER($U4),$U4,IFERROR(_xlfn.NUMBERVALUE(TRIM($U4)),0)),
_xlpm.b,IF(ISNUMBER($V4),$V4,IFERROR(_xlfn.NUMBERVALUE(TRIM($V4)),0)),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4" s="72" cm="1">
        <f t="array" ref="AA4">_xlfn.IFS($W4=0,0,AND($W4&gt;0,$W4&lt;=0.5),2,AND($W4&gt;0.5,$W4&lt;=1),3,AND($W4&gt;1,$W4&lt;=1.5),4,AND($W4&gt;1.5,$W4&lt;=2),5,AND($W4&gt;2,$W4&lt;=3),6,AND($W4&gt;3,$W4&lt;=4),7,$W4&gt;4,8)</f>
        <v>0</v>
      </c>
      <c r="AB4" s="72" cm="1">
        <f t="array" ref="AB4">_xlfn.IFS($X4=0,0,AND($X4&gt;0,$X4&lt;=0.5),2,AND($X4&gt;0.5,$X4&lt;=1),3,AND($X4&gt;1,$X4&lt;=1.5),4,AND($X4&gt;1.5,$X4&lt;=2),5,AND($X4&gt;2,$X4&lt;=3),6,AND($X4&gt;3,$X4&lt;=4),7,$X4&gt;4,8)</f>
        <v>7</v>
      </c>
      <c r="AC4" s="72" cm="1">
        <f t="array" ref="AC4">_xlfn.IFS($Y4=0,0,AND($Y4&gt;0,$Y4&lt;=0.5),2,AND($Y4&gt;0.5,$Y4&lt;=1),3,AND($Y4&gt;1,$Y4&lt;=1.5),4,AND($Y4&gt;1.5,$Y4&lt;=2),5,AND($Y4&gt;2,$Y4&lt;=3),6,AND($Y4&gt;3,$Y4&lt;=4),7,$Y4&gt;4,8)</f>
        <v>0</v>
      </c>
      <c r="AD4" s="54">
        <v>3.42</v>
      </c>
      <c r="AE4" s="54">
        <v>0.54</v>
      </c>
      <c r="AF4" s="54">
        <f t="shared" ref="AF4:AF35" si="1">AD4+AE4</f>
        <v>3.96</v>
      </c>
      <c r="AG4" s="55">
        <v>2568</v>
      </c>
      <c r="AH4" s="54" t="s">
        <v>41</v>
      </c>
    </row>
    <row r="5" spans="1:34" x14ac:dyDescent="0.2">
      <c r="A5" s="52">
        <v>2</v>
      </c>
      <c r="B5" s="52" t="s">
        <v>26</v>
      </c>
      <c r="C5" s="52" t="s">
        <v>27</v>
      </c>
      <c r="D5" s="52" t="s">
        <v>28</v>
      </c>
      <c r="E5" s="52" t="s">
        <v>42</v>
      </c>
      <c r="F5" s="53" t="s">
        <v>43</v>
      </c>
      <c r="G5" s="54">
        <v>3.7</v>
      </c>
      <c r="H5" s="55" t="s">
        <v>44</v>
      </c>
      <c r="I5" s="55">
        <v>2569</v>
      </c>
      <c r="J5" s="56">
        <v>45658</v>
      </c>
      <c r="K5" s="56">
        <v>46081</v>
      </c>
      <c r="L5" s="55" t="s">
        <v>34</v>
      </c>
      <c r="M5" s="55" t="s">
        <v>35</v>
      </c>
      <c r="N5" s="55" t="s">
        <v>36</v>
      </c>
      <c r="O5" s="54">
        <v>920982.5763208993</v>
      </c>
      <c r="P5" s="54">
        <v>495000</v>
      </c>
      <c r="Q5" s="54" t="s">
        <v>37</v>
      </c>
      <c r="R5" s="30" t="s">
        <v>45</v>
      </c>
      <c r="S5" s="30" t="s">
        <v>46</v>
      </c>
      <c r="T5" s="54" t="s">
        <v>40</v>
      </c>
      <c r="U5" s="54"/>
      <c r="V5" s="54"/>
      <c r="W5" s="54"/>
      <c r="X5" s="54">
        <f>AF5</f>
        <v>4.07</v>
      </c>
      <c r="Y5" s="54"/>
      <c r="Z5" s="72" cm="1">
        <f t="array" ref="Z5">_xlfn.LET(
_xlpm.a,IF(ISNUMBER($U5),$U5,IFERROR(_xlfn.NUMBERVALUE(TRIM($U5)),0)),
_xlpm.b,IF(ISNUMBER($V5),$V5,IFERROR(_xlfn.NUMBERVALUE(TRIM($V5)),0)),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5" s="72" cm="1">
        <f t="array" ref="AA5">_xlfn.IFS($W5=0,0,AND($W5&gt;0,$W5&lt;=0.5),2,AND($W5&gt;0.5,$W5&lt;=1),3,AND($W5&gt;1,$W5&lt;=1.5),4,AND($W5&gt;1.5,$W5&lt;=2),5,AND($W5&gt;2,$W5&lt;=3),6,AND($W5&gt;3,$W5&lt;=4),7,$W5&gt;4,8)</f>
        <v>0</v>
      </c>
      <c r="AB5" s="72" cm="1">
        <f t="array" ref="AB5">_xlfn.IFS($X5=0,0,AND($X5&gt;0,$X5&lt;=0.5),2,AND($X5&gt;0.5,$X5&lt;=1),3,AND($X5&gt;1,$X5&lt;=1.5),4,AND($X5&gt;1.5,$X5&lt;=2),5,AND($X5&gt;2,$X5&lt;=3),6,AND($X5&gt;3,$X5&lt;=4),7,$X5&gt;4,8)</f>
        <v>8</v>
      </c>
      <c r="AC5" s="72" cm="1">
        <f t="array" ref="AC5">_xlfn.IFS($Y5=0,0,AND($Y5&gt;0,$Y5&lt;=0.5),2,AND($Y5&gt;0.5,$Y5&lt;=1),3,AND($Y5&gt;1,$Y5&lt;=1.5),4,AND($Y5&gt;1.5,$Y5&lt;=2),5,AND($Y5&gt;2,$Y5&lt;=3),6,AND($Y5&gt;3,$Y5&lt;=4),7,$Y5&gt;4,8)</f>
        <v>0</v>
      </c>
      <c r="AD5" s="54">
        <v>3.5150000000000001</v>
      </c>
      <c r="AE5" s="54">
        <v>0.55500000000000005</v>
      </c>
      <c r="AF5" s="54">
        <f t="shared" si="1"/>
        <v>4.07</v>
      </c>
      <c r="AG5" s="55">
        <v>2568</v>
      </c>
      <c r="AH5" s="54" t="s">
        <v>47</v>
      </c>
    </row>
    <row r="6" spans="1:34" ht="25.5" x14ac:dyDescent="0.2">
      <c r="A6" s="52">
        <v>3</v>
      </c>
      <c r="B6" s="52" t="s">
        <v>26</v>
      </c>
      <c r="C6" s="52" t="s">
        <v>27</v>
      </c>
      <c r="D6" s="52" t="s">
        <v>48</v>
      </c>
      <c r="E6" s="52" t="s">
        <v>49</v>
      </c>
      <c r="F6" s="53" t="s">
        <v>50</v>
      </c>
      <c r="G6" s="54">
        <v>0.6</v>
      </c>
      <c r="H6" s="55" t="s">
        <v>31</v>
      </c>
      <c r="I6" s="55">
        <v>2569</v>
      </c>
      <c r="J6" s="56">
        <v>45716</v>
      </c>
      <c r="K6" s="56">
        <v>46064</v>
      </c>
      <c r="L6" s="55" t="s">
        <v>34</v>
      </c>
      <c r="M6" s="55" t="s">
        <v>35</v>
      </c>
      <c r="N6" s="55" t="s">
        <v>36</v>
      </c>
      <c r="O6" s="54">
        <v>126596.98036363638</v>
      </c>
      <c r="P6" s="54">
        <v>36775.271999999997</v>
      </c>
      <c r="Q6" s="54" t="s">
        <v>37</v>
      </c>
      <c r="R6" s="30" t="s">
        <v>51</v>
      </c>
      <c r="S6" s="30" t="s">
        <v>52</v>
      </c>
      <c r="T6" s="54" t="s">
        <v>53</v>
      </c>
      <c r="U6" s="54"/>
      <c r="V6" s="54"/>
      <c r="W6" s="54">
        <f>AF6</f>
        <v>0.65999999999999992</v>
      </c>
      <c r="X6" s="54"/>
      <c r="Y6" s="54"/>
      <c r="Z6" s="72" cm="1">
        <f t="array" ref="Z6">_xlfn.LET(
_xlpm.a,IF(ISNUMBER($U6),$U6,IFERROR(_xlfn.NUMBERVALUE(TRIM($U6)),0)),
_xlpm.b,IF(ISNUMBER($V6),$V6,IFERROR(_xlfn.NUMBERVALUE(TRIM($V6)),0)),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6" s="72" cm="1">
        <f t="array" ref="AA6">_xlfn.IFS($W6=0,0,AND($W6&gt;0,$W6&lt;=0.5),2,AND($W6&gt;0.5,$W6&lt;=1),3,AND($W6&gt;1,$W6&lt;=1.5),4,AND($W6&gt;1.5,$W6&lt;=2),5,AND($W6&gt;2,$W6&lt;=3),6,AND($W6&gt;3,$W6&lt;=4),7,$W6&gt;4,8)</f>
        <v>3</v>
      </c>
      <c r="AB6" s="72" cm="1">
        <f t="array" ref="AB6">_xlfn.IFS($X6=0,0,AND($X6&gt;0,$X6&lt;=0.5),2,AND($X6&gt;0.5,$X6&lt;=1),3,AND($X6&gt;1,$X6&lt;=1.5),4,AND($X6&gt;1.5,$X6&lt;=2),5,AND($X6&gt;2,$X6&lt;=3),6,AND($X6&gt;3,$X6&lt;=4),7,$X6&gt;4,8)</f>
        <v>0</v>
      </c>
      <c r="AC6" s="72" cm="1">
        <f t="array" ref="AC6">_xlfn.IFS($Y6=0,0,AND($Y6&gt;0,$Y6&lt;=0.5),2,AND($Y6&gt;0.5,$Y6&lt;=1),3,AND($Y6&gt;1,$Y6&lt;=1.5),4,AND($Y6&gt;1.5,$Y6&lt;=2),5,AND($Y6&gt;2,$Y6&lt;=3),6,AND($Y6&gt;3,$Y6&lt;=4),7,$Y6&gt;4,8)</f>
        <v>0</v>
      </c>
      <c r="AD6" s="54">
        <v>0.56999999999999995</v>
      </c>
      <c r="AE6" s="54">
        <v>0.09</v>
      </c>
      <c r="AF6" s="54">
        <f t="shared" si="1"/>
        <v>0.65999999999999992</v>
      </c>
      <c r="AG6" s="55">
        <v>2568</v>
      </c>
      <c r="AH6" s="54" t="s">
        <v>47</v>
      </c>
    </row>
    <row r="7" spans="1:34" x14ac:dyDescent="0.2">
      <c r="A7" s="52">
        <v>4</v>
      </c>
      <c r="B7" s="52" t="s">
        <v>26</v>
      </c>
      <c r="C7" s="52" t="s">
        <v>27</v>
      </c>
      <c r="D7" s="52" t="s">
        <v>28</v>
      </c>
      <c r="E7" s="52" t="s">
        <v>54</v>
      </c>
      <c r="F7" s="53" t="s">
        <v>55</v>
      </c>
      <c r="G7" s="54">
        <v>0.5</v>
      </c>
      <c r="H7" s="55" t="s">
        <v>56</v>
      </c>
      <c r="I7" s="55">
        <v>2569</v>
      </c>
      <c r="J7" s="56">
        <v>45808</v>
      </c>
      <c r="K7" s="56">
        <v>46091</v>
      </c>
      <c r="L7" s="55" t="s">
        <v>34</v>
      </c>
      <c r="M7" s="55" t="s">
        <v>35</v>
      </c>
      <c r="N7" s="55" t="s">
        <v>36</v>
      </c>
      <c r="O7" s="54">
        <v>28750</v>
      </c>
      <c r="P7" s="54">
        <v>14036.363636363636</v>
      </c>
      <c r="Q7" s="54" t="s">
        <v>37</v>
      </c>
      <c r="R7" s="30" t="s">
        <v>57</v>
      </c>
      <c r="S7" s="30" t="s">
        <v>58</v>
      </c>
      <c r="T7" s="54" t="s">
        <v>53</v>
      </c>
      <c r="U7" s="54"/>
      <c r="V7" s="54"/>
      <c r="W7" s="54">
        <f>AF7</f>
        <v>0.54999999999999993</v>
      </c>
      <c r="X7" s="54"/>
      <c r="Y7" s="54"/>
      <c r="Z7" s="72" cm="1">
        <f t="array" ref="Z7">_xlfn.LET(
_xlpm.a,IF(ISNUMBER($U7),$U7,IFERROR(_xlfn.NUMBERVALUE(TRIM($U7)),0)),
_xlpm.b,IF(ISNUMBER($V7),$V7,IFERROR(_xlfn.NUMBERVALUE(TRIM($V7)),0)),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7" s="72" cm="1">
        <f t="array" ref="AA7">_xlfn.IFS($W7=0,0,AND($W7&gt;0,$W7&lt;=0.5),2,AND($W7&gt;0.5,$W7&lt;=1),3,AND($W7&gt;1,$W7&lt;=1.5),4,AND($W7&gt;1.5,$W7&lt;=2),5,AND($W7&gt;2,$W7&lt;=3),6,AND($W7&gt;3,$W7&lt;=4),7,$W7&gt;4,8)</f>
        <v>3</v>
      </c>
      <c r="AB7" s="72" cm="1">
        <f t="array" ref="AB7">_xlfn.IFS($X7=0,0,AND($X7&gt;0,$X7&lt;=0.5),2,AND($X7&gt;0.5,$X7&lt;=1),3,AND($X7&gt;1,$X7&lt;=1.5),4,AND($X7&gt;1.5,$X7&lt;=2),5,AND($X7&gt;2,$X7&lt;=3),6,AND($X7&gt;3,$X7&lt;=4),7,$X7&gt;4,8)</f>
        <v>0</v>
      </c>
      <c r="AC7" s="72" cm="1">
        <f t="array" ref="AC7">_xlfn.IFS($Y7=0,0,AND($Y7&gt;0,$Y7&lt;=0.5),2,AND($Y7&gt;0.5,$Y7&lt;=1),3,AND($Y7&gt;1,$Y7&lt;=1.5),4,AND($Y7&gt;1.5,$Y7&lt;=2),5,AND($Y7&gt;2,$Y7&lt;=3),6,AND($Y7&gt;3,$Y7&lt;=4),7,$Y7&gt;4,8)</f>
        <v>0</v>
      </c>
      <c r="AD7" s="54">
        <v>0.47499999999999998</v>
      </c>
      <c r="AE7" s="54">
        <v>7.4999999999999997E-2</v>
      </c>
      <c r="AF7" s="54">
        <f t="shared" si="1"/>
        <v>0.54999999999999993</v>
      </c>
      <c r="AG7" s="55">
        <v>2569</v>
      </c>
      <c r="AH7" s="54" t="s">
        <v>59</v>
      </c>
    </row>
    <row r="8" spans="1:34" x14ac:dyDescent="0.2">
      <c r="A8" s="52">
        <v>5</v>
      </c>
      <c r="B8" s="52" t="s">
        <v>26</v>
      </c>
      <c r="C8" s="52" t="s">
        <v>27</v>
      </c>
      <c r="D8" s="52" t="s">
        <v>28</v>
      </c>
      <c r="E8" s="52" t="s">
        <v>60</v>
      </c>
      <c r="F8" s="53" t="s">
        <v>61</v>
      </c>
      <c r="G8" s="54">
        <v>2.8</v>
      </c>
      <c r="H8" s="55" t="s">
        <v>56</v>
      </c>
      <c r="I8" s="55">
        <v>2569</v>
      </c>
      <c r="J8" s="56">
        <v>45808</v>
      </c>
      <c r="K8" s="56">
        <v>46077</v>
      </c>
      <c r="L8" s="55" t="s">
        <v>34</v>
      </c>
      <c r="M8" s="55" t="s">
        <v>35</v>
      </c>
      <c r="N8" s="55" t="s">
        <v>36</v>
      </c>
      <c r="O8" s="54">
        <v>161000</v>
      </c>
      <c r="P8" s="54">
        <v>78603.636363636368</v>
      </c>
      <c r="Q8" s="54" t="s">
        <v>37</v>
      </c>
      <c r="R8" s="30" t="s">
        <v>62</v>
      </c>
      <c r="S8" s="30" t="s">
        <v>57</v>
      </c>
      <c r="T8" s="54" t="s">
        <v>53</v>
      </c>
      <c r="U8" s="54"/>
      <c r="V8" s="54"/>
      <c r="W8" s="54">
        <f>AF8</f>
        <v>3.0799999999999996</v>
      </c>
      <c r="X8" s="54"/>
      <c r="Y8" s="54"/>
      <c r="Z8" s="72" cm="1">
        <f t="array" ref="Z8">_xlfn.LET(
_xlpm.a,IF(ISNUMBER($U8),$U8,IFERROR(_xlfn.NUMBERVALUE(TRIM($U8)),0)),
_xlpm.b,IF(ISNUMBER($V8),$V8,IFERROR(_xlfn.NUMBERVALUE(TRIM($V8)),0)),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8" s="72" cm="1">
        <f t="array" ref="AA8">_xlfn.IFS($W8=0,0,AND($W8&gt;0,$W8&lt;=0.5),2,AND($W8&gt;0.5,$W8&lt;=1),3,AND($W8&gt;1,$W8&lt;=1.5),4,AND($W8&gt;1.5,$W8&lt;=2),5,AND($W8&gt;2,$W8&lt;=3),6,AND($W8&gt;3,$W8&lt;=4),7,$W8&gt;4,8)</f>
        <v>7</v>
      </c>
      <c r="AB8" s="72" cm="1">
        <f t="array" ref="AB8">_xlfn.IFS($X8=0,0,AND($X8&gt;0,$X8&lt;=0.5),2,AND($X8&gt;0.5,$X8&lt;=1),3,AND($X8&gt;1,$X8&lt;=1.5),4,AND($X8&gt;1.5,$X8&lt;=2),5,AND($X8&gt;2,$X8&lt;=3),6,AND($X8&gt;3,$X8&lt;=4),7,$X8&gt;4,8)</f>
        <v>0</v>
      </c>
      <c r="AC8" s="72" cm="1">
        <f t="array" ref="AC8">_xlfn.IFS($Y8=0,0,AND($Y8&gt;0,$Y8&lt;=0.5),2,AND($Y8&gt;0.5,$Y8&lt;=1),3,AND($Y8&gt;1,$Y8&lt;=1.5),4,AND($Y8&gt;1.5,$Y8&lt;=2),5,AND($Y8&gt;2,$Y8&lt;=3),6,AND($Y8&gt;3,$Y8&lt;=4),7,$Y8&gt;4,8)</f>
        <v>0</v>
      </c>
      <c r="AD8" s="54">
        <v>2.6599999999999997</v>
      </c>
      <c r="AE8" s="54">
        <v>0.42</v>
      </c>
      <c r="AF8" s="54">
        <f t="shared" si="1"/>
        <v>3.0799999999999996</v>
      </c>
      <c r="AG8" s="55">
        <v>2569</v>
      </c>
      <c r="AH8" s="54" t="s">
        <v>59</v>
      </c>
    </row>
    <row r="9" spans="1:34" x14ac:dyDescent="0.2">
      <c r="A9" s="52">
        <v>6</v>
      </c>
      <c r="B9" s="52" t="s">
        <v>26</v>
      </c>
      <c r="C9" s="52" t="s">
        <v>27</v>
      </c>
      <c r="D9" s="52" t="s">
        <v>28</v>
      </c>
      <c r="E9" s="52" t="s">
        <v>63</v>
      </c>
      <c r="F9" s="53" t="s">
        <v>64</v>
      </c>
      <c r="G9" s="54">
        <v>3</v>
      </c>
      <c r="H9" s="55" t="s">
        <v>44</v>
      </c>
      <c r="I9" s="55">
        <v>2569</v>
      </c>
      <c r="J9" s="56">
        <v>45658</v>
      </c>
      <c r="K9" s="56">
        <v>46111</v>
      </c>
      <c r="L9" s="55" t="s">
        <v>34</v>
      </c>
      <c r="M9" s="55" t="s">
        <v>35</v>
      </c>
      <c r="N9" s="55" t="s">
        <v>36</v>
      </c>
      <c r="O9" s="54">
        <v>637974.77417475719</v>
      </c>
      <c r="P9" s="54">
        <v>313671.84466019413</v>
      </c>
      <c r="Q9" s="54" t="s">
        <v>37</v>
      </c>
      <c r="R9" s="30" t="s">
        <v>46</v>
      </c>
      <c r="S9" s="30" t="s">
        <v>65</v>
      </c>
      <c r="T9" s="54" t="s">
        <v>53</v>
      </c>
      <c r="U9" s="54"/>
      <c r="V9" s="54"/>
      <c r="W9" s="54">
        <f>AF9</f>
        <v>3.3</v>
      </c>
      <c r="X9" s="54"/>
      <c r="Y9" s="54"/>
      <c r="Z9" s="72" cm="1">
        <f t="array" ref="Z9">_xlfn.LET(
_xlpm.a,IF(ISNUMBER($U9),$U9,IFERROR(_xlfn.NUMBERVALUE(TRIM($U9)),0)),
_xlpm.b,IF(ISNUMBER($V9),$V9,IFERROR(_xlfn.NUMBERVALUE(TRIM($V9)),0)),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9" s="72" cm="1">
        <f t="array" ref="AA9">_xlfn.IFS($W9=0,0,AND($W9&gt;0,$W9&lt;=0.5),2,AND($W9&gt;0.5,$W9&lt;=1),3,AND($W9&gt;1,$W9&lt;=1.5),4,AND($W9&gt;1.5,$W9&lt;=2),5,AND($W9&gt;2,$W9&lt;=3),6,AND($W9&gt;3,$W9&lt;=4),7,$W9&gt;4,8)</f>
        <v>7</v>
      </c>
      <c r="AB9" s="72" cm="1">
        <f t="array" ref="AB9">_xlfn.IFS($X9=0,0,AND($X9&gt;0,$X9&lt;=0.5),2,AND($X9&gt;0.5,$X9&lt;=1),3,AND($X9&gt;1,$X9&lt;=1.5),4,AND($X9&gt;1.5,$X9&lt;=2),5,AND($X9&gt;2,$X9&lt;=3),6,AND($X9&gt;3,$X9&lt;=4),7,$X9&gt;4,8)</f>
        <v>0</v>
      </c>
      <c r="AC9" s="72" cm="1">
        <f t="array" ref="AC9">_xlfn.IFS($Y9=0,0,AND($Y9&gt;0,$Y9&lt;=0.5),2,AND($Y9&gt;0.5,$Y9&lt;=1),3,AND($Y9&gt;1,$Y9&lt;=1.5),4,AND($Y9&gt;1.5,$Y9&lt;=2),5,AND($Y9&gt;2,$Y9&lt;=3),6,AND($Y9&gt;3,$Y9&lt;=4),7,$Y9&gt;4,8)</f>
        <v>0</v>
      </c>
      <c r="AD9" s="54">
        <v>2.8499999999999996</v>
      </c>
      <c r="AE9" s="54">
        <v>0.44999999999999996</v>
      </c>
      <c r="AF9" s="54">
        <f t="shared" si="1"/>
        <v>3.3</v>
      </c>
      <c r="AG9" s="55">
        <v>2568</v>
      </c>
      <c r="AH9" s="54" t="s">
        <v>66</v>
      </c>
    </row>
    <row r="10" spans="1:34" x14ac:dyDescent="0.2">
      <c r="A10" s="52">
        <v>7</v>
      </c>
      <c r="B10" s="52" t="s">
        <v>26</v>
      </c>
      <c r="C10" s="52" t="s">
        <v>27</v>
      </c>
      <c r="D10" s="52" t="s">
        <v>48</v>
      </c>
      <c r="E10" s="52" t="s">
        <v>67</v>
      </c>
      <c r="F10" s="53" t="s">
        <v>68</v>
      </c>
      <c r="G10" s="54">
        <v>1</v>
      </c>
      <c r="H10" s="55" t="s">
        <v>31</v>
      </c>
      <c r="I10" s="55">
        <v>2569</v>
      </c>
      <c r="J10" s="56">
        <v>45716</v>
      </c>
      <c r="K10" s="56">
        <v>46112</v>
      </c>
      <c r="L10" s="54" t="s">
        <v>69</v>
      </c>
      <c r="M10" s="55" t="s">
        <v>70</v>
      </c>
      <c r="N10" s="55" t="s">
        <v>71</v>
      </c>
      <c r="O10" s="54">
        <v>0</v>
      </c>
      <c r="P10" s="54">
        <v>0</v>
      </c>
      <c r="Q10" s="54" t="s">
        <v>69</v>
      </c>
      <c r="R10" s="30" t="s">
        <v>72</v>
      </c>
      <c r="S10" s="30" t="s">
        <v>73</v>
      </c>
      <c r="T10" s="54" t="s">
        <v>69</v>
      </c>
      <c r="U10" s="54"/>
      <c r="V10" s="54"/>
      <c r="W10" s="54"/>
      <c r="X10" s="54"/>
      <c r="Y10" s="54"/>
      <c r="Z10" s="72" cm="1">
        <f t="array" ref="Z10">_xlfn.LET(
_xlpm.a,IF(ISNUMBER($U10),$U10,IFERROR(_xlfn.NUMBERVALUE(TRIM($U10)),0)),
_xlpm.b,IF(ISNUMBER($V10),$V10,IFERROR(_xlfn.NUMBERVALUE(TRIM($V10)),0)),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0" s="72" cm="1">
        <f t="array" ref="AA10">_xlfn.IFS($W10=0,0,AND($W10&gt;0,$W10&lt;=0.5),2,AND($W10&gt;0.5,$W10&lt;=1),3,AND($W10&gt;1,$W10&lt;=1.5),4,AND($W10&gt;1.5,$W10&lt;=2),5,AND($W10&gt;2,$W10&lt;=3),6,AND($W10&gt;3,$W10&lt;=4),7,$W10&gt;4,8)</f>
        <v>0</v>
      </c>
      <c r="AB10" s="72" cm="1">
        <f t="array" ref="AB10">_xlfn.IFS($X10=0,0,AND($X10&gt;0,$X10&lt;=0.5),2,AND($X10&gt;0.5,$X10&lt;=1),3,AND($X10&gt;1,$X10&lt;=1.5),4,AND($X10&gt;1.5,$X10&lt;=2),5,AND($X10&gt;2,$X10&lt;=3),6,AND($X10&gt;3,$X10&lt;=4),7,$X10&gt;4,8)</f>
        <v>0</v>
      </c>
      <c r="AC10" s="72" cm="1">
        <f t="array" ref="AC10">_xlfn.IFS($Y10=0,0,AND($Y10&gt;0,$Y10&lt;=0.5),2,AND($Y10&gt;0.5,$Y10&lt;=1),3,AND($Y10&gt;1,$Y10&lt;=1.5),4,AND($Y10&gt;1.5,$Y10&lt;=2),5,AND($Y10&gt;2,$Y10&lt;=3),6,AND($Y10&gt;3,$Y10&lt;=4),7,$Y10&gt;4,8)</f>
        <v>0</v>
      </c>
      <c r="AD10" s="54">
        <v>0</v>
      </c>
      <c r="AE10" s="54">
        <v>0</v>
      </c>
      <c r="AF10" s="54">
        <f t="shared" si="1"/>
        <v>0</v>
      </c>
      <c r="AG10" s="55" t="s">
        <v>69</v>
      </c>
      <c r="AH10" s="54" t="s">
        <v>69</v>
      </c>
    </row>
    <row r="11" spans="1:34" x14ac:dyDescent="0.2">
      <c r="A11" s="52">
        <v>8</v>
      </c>
      <c r="B11" s="52" t="s">
        <v>26</v>
      </c>
      <c r="C11" s="52" t="s">
        <v>27</v>
      </c>
      <c r="D11" s="52" t="s">
        <v>48</v>
      </c>
      <c r="E11" s="52" t="s">
        <v>74</v>
      </c>
      <c r="F11" s="53" t="s">
        <v>75</v>
      </c>
      <c r="G11" s="54">
        <v>1</v>
      </c>
      <c r="H11" s="55" t="s">
        <v>31</v>
      </c>
      <c r="I11" s="55">
        <v>2569</v>
      </c>
      <c r="J11" s="56">
        <v>45716</v>
      </c>
      <c r="K11" s="56">
        <v>46112</v>
      </c>
      <c r="L11" s="54" t="s">
        <v>69</v>
      </c>
      <c r="M11" s="55" t="s">
        <v>70</v>
      </c>
      <c r="N11" s="55" t="s">
        <v>71</v>
      </c>
      <c r="O11" s="54">
        <v>0</v>
      </c>
      <c r="P11" s="54">
        <v>0</v>
      </c>
      <c r="Q11" s="54" t="s">
        <v>69</v>
      </c>
      <c r="R11" s="30" t="s">
        <v>76</v>
      </c>
      <c r="S11" s="30" t="s">
        <v>77</v>
      </c>
      <c r="T11" s="54" t="s">
        <v>69</v>
      </c>
      <c r="U11" s="54"/>
      <c r="V11" s="54"/>
      <c r="W11" s="54"/>
      <c r="X11" s="54"/>
      <c r="Y11" s="54"/>
      <c r="Z11" s="72" cm="1">
        <f t="array" ref="Z11">_xlfn.LET(
_xlpm.a,IF(ISNUMBER($U11),$U11,IFERROR(_xlfn.NUMBERVALUE(TRIM($U11)),0)),
_xlpm.b,IF(ISNUMBER($V11),$V11,IFERROR(_xlfn.NUMBERVALUE(TRIM($V11)),0)),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1" s="72" cm="1">
        <f t="array" ref="AA11">_xlfn.IFS($W11=0,0,AND($W11&gt;0,$W11&lt;=0.5),2,AND($W11&gt;0.5,$W11&lt;=1),3,AND($W11&gt;1,$W11&lt;=1.5),4,AND($W11&gt;1.5,$W11&lt;=2),5,AND($W11&gt;2,$W11&lt;=3),6,AND($W11&gt;3,$W11&lt;=4),7,$W11&gt;4,8)</f>
        <v>0</v>
      </c>
      <c r="AB11" s="72" cm="1">
        <f t="array" ref="AB11">_xlfn.IFS($X11=0,0,AND($X11&gt;0,$X11&lt;=0.5),2,AND($X11&gt;0.5,$X11&lt;=1),3,AND($X11&gt;1,$X11&lt;=1.5),4,AND($X11&gt;1.5,$X11&lt;=2),5,AND($X11&gt;2,$X11&lt;=3),6,AND($X11&gt;3,$X11&lt;=4),7,$X11&gt;4,8)</f>
        <v>0</v>
      </c>
      <c r="AC11" s="72" cm="1">
        <f t="array" ref="AC11">_xlfn.IFS($Y11=0,0,AND($Y11&gt;0,$Y11&lt;=0.5),2,AND($Y11&gt;0.5,$Y11&lt;=1),3,AND($Y11&gt;1,$Y11&lt;=1.5),4,AND($Y11&gt;1.5,$Y11&lt;=2),5,AND($Y11&gt;2,$Y11&lt;=3),6,AND($Y11&gt;3,$Y11&lt;=4),7,$Y11&gt;4,8)</f>
        <v>0</v>
      </c>
      <c r="AD11" s="54">
        <v>0</v>
      </c>
      <c r="AE11" s="54">
        <v>0</v>
      </c>
      <c r="AF11" s="54">
        <f t="shared" si="1"/>
        <v>0</v>
      </c>
      <c r="AG11" s="55" t="s">
        <v>69</v>
      </c>
      <c r="AH11" s="54" t="s">
        <v>69</v>
      </c>
    </row>
    <row r="12" spans="1:34" x14ac:dyDescent="0.2">
      <c r="A12" s="52">
        <v>9</v>
      </c>
      <c r="B12" s="52" t="s">
        <v>26</v>
      </c>
      <c r="C12" s="52" t="s">
        <v>27</v>
      </c>
      <c r="D12" s="52" t="s">
        <v>48</v>
      </c>
      <c r="E12" s="52" t="s">
        <v>78</v>
      </c>
      <c r="F12" s="53" t="s">
        <v>79</v>
      </c>
      <c r="G12" s="54">
        <v>0.6</v>
      </c>
      <c r="H12" s="55" t="s">
        <v>31</v>
      </c>
      <c r="I12" s="55">
        <v>2569</v>
      </c>
      <c r="J12" s="56">
        <v>45716</v>
      </c>
      <c r="K12" s="56">
        <v>46112</v>
      </c>
      <c r="L12" s="54" t="s">
        <v>69</v>
      </c>
      <c r="M12" s="55" t="s">
        <v>70</v>
      </c>
      <c r="N12" s="55" t="s">
        <v>71</v>
      </c>
      <c r="O12" s="54">
        <v>0</v>
      </c>
      <c r="P12" s="54">
        <v>0</v>
      </c>
      <c r="Q12" s="54" t="s">
        <v>69</v>
      </c>
      <c r="R12" s="30" t="s">
        <v>80</v>
      </c>
      <c r="S12" s="30" t="s">
        <v>81</v>
      </c>
      <c r="T12" s="54" t="s">
        <v>69</v>
      </c>
      <c r="U12" s="54"/>
      <c r="V12" s="54"/>
      <c r="W12" s="54"/>
      <c r="X12" s="54"/>
      <c r="Y12" s="54"/>
      <c r="Z12" s="72" cm="1">
        <f t="array" ref="Z12">_xlfn.LET(
_xlpm.a,IF(ISNUMBER($U12),$U12,IFERROR(_xlfn.NUMBERVALUE(TRIM($U12)),0)),
_xlpm.b,IF(ISNUMBER($V12),$V12,IFERROR(_xlfn.NUMBERVALUE(TRIM($V12)),0)),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2" s="72" cm="1">
        <f t="array" ref="AA12">_xlfn.IFS($W12=0,0,AND($W12&gt;0,$W12&lt;=0.5),2,AND($W12&gt;0.5,$W12&lt;=1),3,AND($W12&gt;1,$W12&lt;=1.5),4,AND($W12&gt;1.5,$W12&lt;=2),5,AND($W12&gt;2,$W12&lt;=3),6,AND($W12&gt;3,$W12&lt;=4),7,$W12&gt;4,8)</f>
        <v>0</v>
      </c>
      <c r="AB12" s="72" cm="1">
        <f t="array" ref="AB12">_xlfn.IFS($X12=0,0,AND($X12&gt;0,$X12&lt;=0.5),2,AND($X12&gt;0.5,$X12&lt;=1),3,AND($X12&gt;1,$X12&lt;=1.5),4,AND($X12&gt;1.5,$X12&lt;=2),5,AND($X12&gt;2,$X12&lt;=3),6,AND($X12&gt;3,$X12&lt;=4),7,$X12&gt;4,8)</f>
        <v>0</v>
      </c>
      <c r="AC12" s="72" cm="1">
        <f t="array" ref="AC12">_xlfn.IFS($Y12=0,0,AND($Y12&gt;0,$Y12&lt;=0.5),2,AND($Y12&gt;0.5,$Y12&lt;=1),3,AND($Y12&gt;1,$Y12&lt;=1.5),4,AND($Y12&gt;1.5,$Y12&lt;=2),5,AND($Y12&gt;2,$Y12&lt;=3),6,AND($Y12&gt;3,$Y12&lt;=4),7,$Y12&gt;4,8)</f>
        <v>0</v>
      </c>
      <c r="AD12" s="54">
        <v>0</v>
      </c>
      <c r="AE12" s="54">
        <v>0</v>
      </c>
      <c r="AF12" s="54">
        <f t="shared" si="1"/>
        <v>0</v>
      </c>
      <c r="AG12" s="55" t="s">
        <v>69</v>
      </c>
      <c r="AH12" s="54" t="s">
        <v>69</v>
      </c>
    </row>
    <row r="13" spans="1:34" x14ac:dyDescent="0.2">
      <c r="A13" s="52">
        <v>10</v>
      </c>
      <c r="B13" s="52" t="s">
        <v>26</v>
      </c>
      <c r="C13" s="52" t="s">
        <v>27</v>
      </c>
      <c r="D13" s="52" t="s">
        <v>48</v>
      </c>
      <c r="E13" s="52" t="s">
        <v>82</v>
      </c>
      <c r="F13" s="53" t="s">
        <v>83</v>
      </c>
      <c r="G13" s="54">
        <v>0.4</v>
      </c>
      <c r="H13" s="55" t="s">
        <v>31</v>
      </c>
      <c r="I13" s="55">
        <v>2569</v>
      </c>
      <c r="J13" s="56">
        <v>45716</v>
      </c>
      <c r="K13" s="56">
        <v>46112</v>
      </c>
      <c r="L13" s="55" t="s">
        <v>34</v>
      </c>
      <c r="M13" s="55" t="s">
        <v>84</v>
      </c>
      <c r="N13" s="55" t="s">
        <v>71</v>
      </c>
      <c r="O13" s="54">
        <v>32500</v>
      </c>
      <c r="P13" s="54">
        <f>9650*0.1*12</f>
        <v>11580</v>
      </c>
      <c r="Q13" s="54" t="s">
        <v>37</v>
      </c>
      <c r="R13" s="30" t="s">
        <v>85</v>
      </c>
      <c r="S13" s="30" t="s">
        <v>86</v>
      </c>
      <c r="T13" s="54" t="s">
        <v>87</v>
      </c>
      <c r="U13" s="54">
        <f>AF13</f>
        <v>0.44</v>
      </c>
      <c r="V13" s="54"/>
      <c r="W13" s="54"/>
      <c r="X13" s="54"/>
      <c r="Y13" s="54"/>
      <c r="Z13" s="72" cm="1">
        <f t="array" ref="Z13">_xlfn.LET(
_xlpm.a,IF(ISNUMBER($U13),$U13,IFERROR(_xlfn.NUMBERVALUE(TRIM($U13)),0)),
_xlpm.b,IF(ISNUMBER($V13),$V13,IFERROR(_xlfn.NUMBERVALUE(TRIM($V13)),0)),
_xlpm.score,_xlfn.LAMBDA(_xlpm.x,_xlfn.IFS(_xlpm.x&lt;0,0,_xlpm.x=0,0,_xlpm.x&lt;=0.5,2,_xlpm.x&lt;=1,3,_xlpm.x&lt;=1.5,4,
_xlpm.x&lt;=2,5,_xlpm.x&lt;=3,6,_xlpm.x&lt;=4,7,_xlpm.x&lt;=5,8,_xlpm.x&gt;5,9)),
_xlpm.score(_xlpm.a)+_xlpm.score(_xlpm.b))</f>
        <v>2</v>
      </c>
      <c r="AA13" s="72" cm="1">
        <f t="array" ref="AA13">_xlfn.IFS($W13=0,0,AND($W13&gt;0,$W13&lt;=0.5),2,AND($W13&gt;0.5,$W13&lt;=1),3,AND($W13&gt;1,$W13&lt;=1.5),4,AND($W13&gt;1.5,$W13&lt;=2),5,AND($W13&gt;2,$W13&lt;=3),6,AND($W13&gt;3,$W13&lt;=4),7,$W13&gt;4,8)</f>
        <v>0</v>
      </c>
      <c r="AB13" s="72" cm="1">
        <f t="array" ref="AB13">_xlfn.IFS($X13=0,0,AND($X13&gt;0,$X13&lt;=0.5),2,AND($X13&gt;0.5,$X13&lt;=1),3,AND($X13&gt;1,$X13&lt;=1.5),4,AND($X13&gt;1.5,$X13&lt;=2),5,AND($X13&gt;2,$X13&lt;=3),6,AND($X13&gt;3,$X13&lt;=4),7,$X13&gt;4,8)</f>
        <v>0</v>
      </c>
      <c r="AC13" s="72" cm="1">
        <f t="array" ref="AC13">_xlfn.IFS($Y13=0,0,AND($Y13&gt;0,$Y13&lt;=0.5),2,AND($Y13&gt;0.5,$Y13&lt;=1),3,AND($Y13&gt;1,$Y13&lt;=1.5),4,AND($Y13&gt;1.5,$Y13&lt;=2),5,AND($Y13&gt;2,$Y13&lt;=3),6,AND($Y13&gt;3,$Y13&lt;=4),7,$Y13&gt;4,8)</f>
        <v>0</v>
      </c>
      <c r="AD13" s="54">
        <v>0.38</v>
      </c>
      <c r="AE13" s="54">
        <v>0.06</v>
      </c>
      <c r="AF13" s="54">
        <f t="shared" si="1"/>
        <v>0.44</v>
      </c>
      <c r="AG13" s="55">
        <v>2568</v>
      </c>
      <c r="AH13" s="54" t="s">
        <v>47</v>
      </c>
    </row>
    <row r="14" spans="1:34" x14ac:dyDescent="0.2">
      <c r="A14" s="52">
        <v>11</v>
      </c>
      <c r="B14" s="57" t="s">
        <v>26</v>
      </c>
      <c r="C14" s="57" t="s">
        <v>27</v>
      </c>
      <c r="D14" s="57" t="s">
        <v>48</v>
      </c>
      <c r="E14" s="57" t="s">
        <v>88</v>
      </c>
      <c r="F14" s="58" t="s">
        <v>89</v>
      </c>
      <c r="G14" s="59">
        <v>0.6</v>
      </c>
      <c r="H14" s="55" t="s">
        <v>31</v>
      </c>
      <c r="I14" s="60">
        <v>2569</v>
      </c>
      <c r="J14" s="61">
        <v>45716</v>
      </c>
      <c r="K14" s="61">
        <v>46064</v>
      </c>
      <c r="L14" s="60" t="s">
        <v>90</v>
      </c>
      <c r="M14" s="60" t="s">
        <v>35</v>
      </c>
      <c r="N14" s="60" t="s">
        <v>36</v>
      </c>
      <c r="O14" s="54">
        <v>126596.98036363638</v>
      </c>
      <c r="P14" s="54">
        <v>36775.271999999997</v>
      </c>
      <c r="Q14" s="54" t="s">
        <v>37</v>
      </c>
      <c r="R14" s="30" t="s">
        <v>91</v>
      </c>
      <c r="S14" s="30" t="s">
        <v>92</v>
      </c>
      <c r="T14" s="54" t="s">
        <v>53</v>
      </c>
      <c r="U14" s="54"/>
      <c r="V14" s="54"/>
      <c r="W14" s="54">
        <f>AF14</f>
        <v>0.65999999999999992</v>
      </c>
      <c r="X14" s="54"/>
      <c r="Y14" s="54"/>
      <c r="Z14" s="72" cm="1">
        <f t="array" ref="Z14">_xlfn.LET(
_xlpm.a,IF(ISNUMBER($U14),$U14,IFERROR(_xlfn.NUMBERVALUE(TRIM($U14)),0)),
_xlpm.b,IF(ISNUMBER($V14),$V14,IFERROR(_xlfn.NUMBERVALUE(TRIM($V14)),0)),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4" s="72" cm="1">
        <f t="array" ref="AA14">_xlfn.IFS($W14=0,0,AND($W14&gt;0,$W14&lt;=0.5),2,AND($W14&gt;0.5,$W14&lt;=1),3,AND($W14&gt;1,$W14&lt;=1.5),4,AND($W14&gt;1.5,$W14&lt;=2),5,AND($W14&gt;2,$W14&lt;=3),6,AND($W14&gt;3,$W14&lt;=4),7,$W14&gt;4,8)</f>
        <v>3</v>
      </c>
      <c r="AB14" s="72" cm="1">
        <f t="array" ref="AB14">_xlfn.IFS($X14=0,0,AND($X14&gt;0,$X14&lt;=0.5),2,AND($X14&gt;0.5,$X14&lt;=1),3,AND($X14&gt;1,$X14&lt;=1.5),4,AND($X14&gt;1.5,$X14&lt;=2),5,AND($X14&gt;2,$X14&lt;=3),6,AND($X14&gt;3,$X14&lt;=4),7,$X14&gt;4,8)</f>
        <v>0</v>
      </c>
      <c r="AC14" s="72" cm="1">
        <f t="array" ref="AC14">_xlfn.IFS($Y14=0,0,AND($Y14&gt;0,$Y14&lt;=0.5),2,AND($Y14&gt;0.5,$Y14&lt;=1),3,AND($Y14&gt;1,$Y14&lt;=1.5),4,AND($Y14&gt;1.5,$Y14&lt;=2),5,AND($Y14&gt;2,$Y14&lt;=3),6,AND($Y14&gt;3,$Y14&lt;=4),7,$Y14&gt;4,8)</f>
        <v>0</v>
      </c>
      <c r="AD14" s="54">
        <v>0.56999999999999995</v>
      </c>
      <c r="AE14" s="54">
        <v>0.09</v>
      </c>
      <c r="AF14" s="54">
        <f t="shared" si="1"/>
        <v>0.65999999999999992</v>
      </c>
      <c r="AG14" s="55">
        <v>2568</v>
      </c>
      <c r="AH14" s="54" t="s">
        <v>47</v>
      </c>
    </row>
    <row r="15" spans="1:34" x14ac:dyDescent="0.2">
      <c r="A15" s="52">
        <v>12</v>
      </c>
      <c r="B15" s="52" t="s">
        <v>26</v>
      </c>
      <c r="C15" s="52" t="s">
        <v>27</v>
      </c>
      <c r="D15" s="52" t="s">
        <v>28</v>
      </c>
      <c r="E15" s="52" t="s">
        <v>93</v>
      </c>
      <c r="F15" s="53" t="s">
        <v>94</v>
      </c>
      <c r="G15" s="54">
        <v>8.4</v>
      </c>
      <c r="H15" s="55" t="s">
        <v>56</v>
      </c>
      <c r="I15" s="55">
        <v>2569</v>
      </c>
      <c r="J15" s="56">
        <v>45961</v>
      </c>
      <c r="K15" s="56">
        <v>46142</v>
      </c>
      <c r="L15" s="55" t="s">
        <v>34</v>
      </c>
      <c r="M15" s="55" t="s">
        <v>35</v>
      </c>
      <c r="N15" s="55" t="s">
        <v>36</v>
      </c>
      <c r="O15" s="54">
        <v>875435.26</v>
      </c>
      <c r="P15" s="54">
        <v>296626.15384615387</v>
      </c>
      <c r="Q15" s="54" t="s">
        <v>37</v>
      </c>
      <c r="R15" s="30" t="s">
        <v>95</v>
      </c>
      <c r="S15" s="30" t="s">
        <v>96</v>
      </c>
      <c r="T15" s="54" t="s">
        <v>40</v>
      </c>
      <c r="U15" s="54"/>
      <c r="V15" s="54"/>
      <c r="W15" s="54"/>
      <c r="X15" s="54">
        <f>AF15</f>
        <v>9.24</v>
      </c>
      <c r="Y15" s="54"/>
      <c r="Z15" s="72" cm="1">
        <f t="array" ref="Z15">_xlfn.LET(
_xlpm.a,IF(ISNUMBER($U15),$U15,IFERROR(_xlfn.NUMBERVALUE(TRIM($U15)),0)),
_xlpm.b,IF(ISNUMBER($V15),$V15,IFERROR(_xlfn.NUMBERVALUE(TRIM($V15)),0)),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5" s="72" cm="1">
        <f t="array" ref="AA15">_xlfn.IFS($W15=0,0,AND($W15&gt;0,$W15&lt;=0.5),2,AND($W15&gt;0.5,$W15&lt;=1),3,AND($W15&gt;1,$W15&lt;=1.5),4,AND($W15&gt;1.5,$W15&lt;=2),5,AND($W15&gt;2,$W15&lt;=3),6,AND($W15&gt;3,$W15&lt;=4),7,$W15&gt;4,8)</f>
        <v>0</v>
      </c>
      <c r="AB15" s="72" cm="1">
        <f t="array" ref="AB15">_xlfn.IFS($X15=0,0,AND($X15&gt;0,$X15&lt;=0.5),2,AND($X15&gt;0.5,$X15&lt;=1),3,AND($X15&gt;1,$X15&lt;=1.5),4,AND($X15&gt;1.5,$X15&lt;=2),5,AND($X15&gt;2,$X15&lt;=3),6,AND($X15&gt;3,$X15&lt;=4),7,$X15&gt;4,8)</f>
        <v>8</v>
      </c>
      <c r="AC15" s="72" cm="1">
        <f t="array" ref="AC15">_xlfn.IFS($Y15=0,0,AND($Y15&gt;0,$Y15&lt;=0.5),2,AND($Y15&gt;0.5,$Y15&lt;=1),3,AND($Y15&gt;1,$Y15&lt;=1.5),4,AND($Y15&gt;1.5,$Y15&lt;=2),5,AND($Y15&gt;2,$Y15&lt;=3),6,AND($Y15&gt;3,$Y15&lt;=4),7,$Y15&gt;4,8)</f>
        <v>0</v>
      </c>
      <c r="AD15" s="54">
        <v>7.9799999999999995</v>
      </c>
      <c r="AE15" s="54">
        <v>1.26</v>
      </c>
      <c r="AF15" s="54">
        <f t="shared" si="1"/>
        <v>9.24</v>
      </c>
      <c r="AG15" s="55">
        <v>2568</v>
      </c>
      <c r="AH15" s="54" t="s">
        <v>47</v>
      </c>
    </row>
    <row r="16" spans="1:34" x14ac:dyDescent="0.2">
      <c r="A16" s="52">
        <v>13</v>
      </c>
      <c r="B16" s="57" t="s">
        <v>26</v>
      </c>
      <c r="C16" s="57" t="s">
        <v>27</v>
      </c>
      <c r="D16" s="57" t="s">
        <v>48</v>
      </c>
      <c r="E16" s="57" t="s">
        <v>97</v>
      </c>
      <c r="F16" s="58" t="s">
        <v>98</v>
      </c>
      <c r="G16" s="59">
        <v>0.6</v>
      </c>
      <c r="H16" s="55" t="s">
        <v>31</v>
      </c>
      <c r="I16" s="60">
        <v>2569</v>
      </c>
      <c r="J16" s="61">
        <v>45716</v>
      </c>
      <c r="K16" s="61">
        <v>46064</v>
      </c>
      <c r="L16" s="60" t="s">
        <v>90</v>
      </c>
      <c r="M16" s="60" t="s">
        <v>35</v>
      </c>
      <c r="N16" s="60" t="s">
        <v>36</v>
      </c>
      <c r="O16" s="54">
        <v>126596.98036363638</v>
      </c>
      <c r="P16" s="54">
        <v>36775.271999999997</v>
      </c>
      <c r="Q16" s="54" t="s">
        <v>37</v>
      </c>
      <c r="R16" s="30" t="s">
        <v>99</v>
      </c>
      <c r="S16" s="30" t="s">
        <v>100</v>
      </c>
      <c r="T16" s="54" t="s">
        <v>53</v>
      </c>
      <c r="U16" s="54"/>
      <c r="V16" s="54"/>
      <c r="W16" s="54">
        <f>AF16</f>
        <v>0.65999999999999992</v>
      </c>
      <c r="X16" s="54"/>
      <c r="Y16" s="54"/>
      <c r="Z16" s="72" cm="1">
        <f t="array" ref="Z16">_xlfn.LET(
_xlpm.a,IF(ISNUMBER($U16),$U16,IFERROR(_xlfn.NUMBERVALUE(TRIM($U16)),0)),
_xlpm.b,IF(ISNUMBER($V16),$V16,IFERROR(_xlfn.NUMBERVALUE(TRIM($V16)),0)),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6" s="72" cm="1">
        <f t="array" ref="AA16">_xlfn.IFS($W16=0,0,AND($W16&gt;0,$W16&lt;=0.5),2,AND($W16&gt;0.5,$W16&lt;=1),3,AND($W16&gt;1,$W16&lt;=1.5),4,AND($W16&gt;1.5,$W16&lt;=2),5,AND($W16&gt;2,$W16&lt;=3),6,AND($W16&gt;3,$W16&lt;=4),7,$W16&gt;4,8)</f>
        <v>3</v>
      </c>
      <c r="AB16" s="72" cm="1">
        <f t="array" ref="AB16">_xlfn.IFS($X16=0,0,AND($X16&gt;0,$X16&lt;=0.5),2,AND($X16&gt;0.5,$X16&lt;=1),3,AND($X16&gt;1,$X16&lt;=1.5),4,AND($X16&gt;1.5,$X16&lt;=2),5,AND($X16&gt;2,$X16&lt;=3),6,AND($X16&gt;3,$X16&lt;=4),7,$X16&gt;4,8)</f>
        <v>0</v>
      </c>
      <c r="AC16" s="72" cm="1">
        <f t="array" ref="AC16">_xlfn.IFS($Y16=0,0,AND($Y16&gt;0,$Y16&lt;=0.5),2,AND($Y16&gt;0.5,$Y16&lt;=1),3,AND($Y16&gt;1,$Y16&lt;=1.5),4,AND($Y16&gt;1.5,$Y16&lt;=2),5,AND($Y16&gt;2,$Y16&lt;=3),6,AND($Y16&gt;3,$Y16&lt;=4),7,$Y16&gt;4,8)</f>
        <v>0</v>
      </c>
      <c r="AD16" s="54">
        <v>0.56999999999999995</v>
      </c>
      <c r="AE16" s="54">
        <v>0.09</v>
      </c>
      <c r="AF16" s="54">
        <f t="shared" si="1"/>
        <v>0.65999999999999992</v>
      </c>
      <c r="AG16" s="55">
        <v>2568</v>
      </c>
      <c r="AH16" s="54" t="s">
        <v>47</v>
      </c>
    </row>
    <row r="17" spans="1:34" x14ac:dyDescent="0.2">
      <c r="A17" s="52">
        <v>14</v>
      </c>
      <c r="B17" s="52" t="s">
        <v>26</v>
      </c>
      <c r="C17" s="52" t="s">
        <v>27</v>
      </c>
      <c r="D17" s="52" t="s">
        <v>28</v>
      </c>
      <c r="E17" s="52" t="s">
        <v>101</v>
      </c>
      <c r="F17" s="53" t="s">
        <v>102</v>
      </c>
      <c r="G17" s="54">
        <v>1.6</v>
      </c>
      <c r="H17" s="55" t="s">
        <v>31</v>
      </c>
      <c r="I17" s="55">
        <v>2569</v>
      </c>
      <c r="J17" s="56">
        <v>45838</v>
      </c>
      <c r="K17" s="56">
        <v>46173</v>
      </c>
      <c r="L17" s="55" t="s">
        <v>90</v>
      </c>
      <c r="M17" s="55" t="s">
        <v>35</v>
      </c>
      <c r="N17" s="55" t="s">
        <v>36</v>
      </c>
      <c r="O17" s="54">
        <v>166500</v>
      </c>
      <c r="P17" s="54">
        <v>86850</v>
      </c>
      <c r="Q17" s="54" t="s">
        <v>37</v>
      </c>
      <c r="R17" s="30" t="s">
        <v>103</v>
      </c>
      <c r="S17" s="30" t="s">
        <v>104</v>
      </c>
      <c r="T17" s="54" t="s">
        <v>40</v>
      </c>
      <c r="U17" s="54"/>
      <c r="V17" s="54"/>
      <c r="W17" s="54"/>
      <c r="X17" s="54">
        <f>AF17</f>
        <v>1.76</v>
      </c>
      <c r="Y17" s="54"/>
      <c r="Z17" s="72" cm="1">
        <f t="array" ref="Z17">_xlfn.LET(
_xlpm.a,IF(ISNUMBER($U17),$U17,IFERROR(_xlfn.NUMBERVALUE(TRIM($U17)),0)),
_xlpm.b,IF(ISNUMBER($V17),$V17,IFERROR(_xlfn.NUMBERVALUE(TRIM($V17)),0)),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7" s="72" cm="1">
        <f t="array" ref="AA17">_xlfn.IFS($W17=0,0,AND($W17&gt;0,$W17&lt;=0.5),2,AND($W17&gt;0.5,$W17&lt;=1),3,AND($W17&gt;1,$W17&lt;=1.5),4,AND($W17&gt;1.5,$W17&lt;=2),5,AND($W17&gt;2,$W17&lt;=3),6,AND($W17&gt;3,$W17&lt;=4),7,$W17&gt;4,8)</f>
        <v>0</v>
      </c>
      <c r="AB17" s="72" cm="1">
        <f t="array" ref="AB17">_xlfn.IFS($X17=0,0,AND($X17&gt;0,$X17&lt;=0.5),2,AND($X17&gt;0.5,$X17&lt;=1),3,AND($X17&gt;1,$X17&lt;=1.5),4,AND($X17&gt;1.5,$X17&lt;=2),5,AND($X17&gt;2,$X17&lt;=3),6,AND($X17&gt;3,$X17&lt;=4),7,$X17&gt;4,8)</f>
        <v>5</v>
      </c>
      <c r="AC17" s="72" cm="1">
        <f t="array" ref="AC17">_xlfn.IFS($Y17=0,0,AND($Y17&gt;0,$Y17&lt;=0.5),2,AND($Y17&gt;0.5,$Y17&lt;=1),3,AND($Y17&gt;1,$Y17&lt;=1.5),4,AND($Y17&gt;1.5,$Y17&lt;=2),5,AND($Y17&gt;2,$Y17&lt;=3),6,AND($Y17&gt;3,$Y17&lt;=4),7,$Y17&gt;4,8)</f>
        <v>0</v>
      </c>
      <c r="AD17" s="54">
        <v>1.52</v>
      </c>
      <c r="AE17" s="54">
        <v>0.24</v>
      </c>
      <c r="AF17" s="54">
        <f t="shared" si="1"/>
        <v>1.76</v>
      </c>
      <c r="AG17" s="55">
        <v>2569</v>
      </c>
      <c r="AH17" s="54" t="s">
        <v>59</v>
      </c>
    </row>
    <row r="18" spans="1:34" x14ac:dyDescent="0.2">
      <c r="A18" s="52">
        <v>15</v>
      </c>
      <c r="B18" s="52" t="s">
        <v>26</v>
      </c>
      <c r="C18" s="52" t="s">
        <v>27</v>
      </c>
      <c r="D18" s="52" t="s">
        <v>28</v>
      </c>
      <c r="E18" s="52" t="s">
        <v>105</v>
      </c>
      <c r="F18" s="53" t="s">
        <v>106</v>
      </c>
      <c r="G18" s="54">
        <v>7.2</v>
      </c>
      <c r="H18" s="55" t="s">
        <v>31</v>
      </c>
      <c r="I18" s="55">
        <v>2569</v>
      </c>
      <c r="J18" s="56">
        <v>46081</v>
      </c>
      <c r="K18" s="56">
        <v>46181</v>
      </c>
      <c r="L18" s="55" t="s">
        <v>34</v>
      </c>
      <c r="M18" s="55" t="s">
        <v>35</v>
      </c>
      <c r="N18" s="55" t="s">
        <v>71</v>
      </c>
      <c r="O18" s="54">
        <v>5051985.2531428598</v>
      </c>
      <c r="P18" s="54">
        <v>2417417.1428571399</v>
      </c>
      <c r="Q18" s="54" t="s">
        <v>37</v>
      </c>
      <c r="R18" s="30" t="s">
        <v>107</v>
      </c>
      <c r="S18" s="30" t="s">
        <v>108</v>
      </c>
      <c r="T18" s="54" t="s">
        <v>40</v>
      </c>
      <c r="U18" s="54"/>
      <c r="V18" s="54"/>
      <c r="W18" s="54"/>
      <c r="X18" s="54">
        <f>AF18</f>
        <v>7.92</v>
      </c>
      <c r="Y18" s="54"/>
      <c r="Z18" s="72" cm="1">
        <f t="array" ref="Z18">_xlfn.LET(
_xlpm.a,IF(ISNUMBER($U18),$U18,IFERROR(_xlfn.NUMBERVALUE(TRIM($U18)),0)),
_xlpm.b,IF(ISNUMBER($V18),$V18,IFERROR(_xlfn.NUMBERVALUE(TRIM($V18)),0)),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8" s="72" cm="1">
        <f t="array" ref="AA18">_xlfn.IFS($W18=0,0,AND($W18&gt;0,$W18&lt;=0.5),2,AND($W18&gt;0.5,$W18&lt;=1),3,AND($W18&gt;1,$W18&lt;=1.5),4,AND($W18&gt;1.5,$W18&lt;=2),5,AND($W18&gt;2,$W18&lt;=3),6,AND($W18&gt;3,$W18&lt;=4),7,$W18&gt;4,8)</f>
        <v>0</v>
      </c>
      <c r="AB18" s="72" cm="1">
        <f t="array" ref="AB18">_xlfn.IFS($X18=0,0,AND($X18&gt;0,$X18&lt;=0.5),2,AND($X18&gt;0.5,$X18&lt;=1),3,AND($X18&gt;1,$X18&lt;=1.5),4,AND($X18&gt;1.5,$X18&lt;=2),5,AND($X18&gt;2,$X18&lt;=3),6,AND($X18&gt;3,$X18&lt;=4),7,$X18&gt;4,8)</f>
        <v>8</v>
      </c>
      <c r="AC18" s="72" cm="1">
        <f t="array" ref="AC18">_xlfn.IFS($Y18=0,0,AND($Y18&gt;0,$Y18&lt;=0.5),2,AND($Y18&gt;0.5,$Y18&lt;=1),3,AND($Y18&gt;1,$Y18&lt;=1.5),4,AND($Y18&gt;1.5,$Y18&lt;=2),5,AND($Y18&gt;2,$Y18&lt;=3),6,AND($Y18&gt;3,$Y18&lt;=4),7,$Y18&gt;4,8)</f>
        <v>0</v>
      </c>
      <c r="AD18" s="54">
        <v>6.84</v>
      </c>
      <c r="AE18" s="54">
        <v>1.08</v>
      </c>
      <c r="AF18" s="54">
        <f t="shared" si="1"/>
        <v>7.92</v>
      </c>
      <c r="AG18" s="55">
        <v>2567</v>
      </c>
      <c r="AH18" s="54" t="s">
        <v>59</v>
      </c>
    </row>
    <row r="19" spans="1:34" x14ac:dyDescent="0.2">
      <c r="A19" s="52">
        <v>16</v>
      </c>
      <c r="B19" s="52" t="s">
        <v>26</v>
      </c>
      <c r="C19" s="52" t="s">
        <v>27</v>
      </c>
      <c r="D19" s="52" t="s">
        <v>28</v>
      </c>
      <c r="E19" s="52" t="s">
        <v>109</v>
      </c>
      <c r="F19" s="53" t="s">
        <v>110</v>
      </c>
      <c r="G19" s="54">
        <v>2</v>
      </c>
      <c r="H19" s="55" t="s">
        <v>44</v>
      </c>
      <c r="I19" s="55">
        <v>2569</v>
      </c>
      <c r="J19" s="56">
        <v>45658</v>
      </c>
      <c r="K19" s="56">
        <v>46203</v>
      </c>
      <c r="L19" s="55" t="s">
        <v>90</v>
      </c>
      <c r="M19" s="55" t="s">
        <v>35</v>
      </c>
      <c r="N19" s="55" t="s">
        <v>36</v>
      </c>
      <c r="O19" s="54">
        <v>425316.51611650485</v>
      </c>
      <c r="P19" s="54">
        <v>209114.56310679612</v>
      </c>
      <c r="Q19" s="54" t="s">
        <v>37</v>
      </c>
      <c r="R19" s="30" t="s">
        <v>65</v>
      </c>
      <c r="S19" s="30" t="s">
        <v>111</v>
      </c>
      <c r="T19" s="54" t="s">
        <v>53</v>
      </c>
      <c r="U19" s="54"/>
      <c r="V19" s="54"/>
      <c r="W19" s="54">
        <f>AF19</f>
        <v>2.1999999999999997</v>
      </c>
      <c r="X19" s="54"/>
      <c r="Y19" s="54"/>
      <c r="Z19" s="72" cm="1">
        <f t="array" ref="Z19">_xlfn.LET(
_xlpm.a,IF(ISNUMBER($U19),$U19,IFERROR(_xlfn.NUMBERVALUE(TRIM($U19)),0)),
_xlpm.b,IF(ISNUMBER($V19),$V19,IFERROR(_xlfn.NUMBERVALUE(TRIM($V19)),0)),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9" s="72" cm="1">
        <f t="array" ref="AA19">_xlfn.IFS($W19=0,0,AND($W19&gt;0,$W19&lt;=0.5),2,AND($W19&gt;0.5,$W19&lt;=1),3,AND($W19&gt;1,$W19&lt;=1.5),4,AND($W19&gt;1.5,$W19&lt;=2),5,AND($W19&gt;2,$W19&lt;=3),6,AND($W19&gt;3,$W19&lt;=4),7,$W19&gt;4,8)</f>
        <v>6</v>
      </c>
      <c r="AB19" s="72" cm="1">
        <f t="array" ref="AB19">_xlfn.IFS($X19=0,0,AND($X19&gt;0,$X19&lt;=0.5),2,AND($X19&gt;0.5,$X19&lt;=1),3,AND($X19&gt;1,$X19&lt;=1.5),4,AND($X19&gt;1.5,$X19&lt;=2),5,AND($X19&gt;2,$X19&lt;=3),6,AND($X19&gt;3,$X19&lt;=4),7,$X19&gt;4,8)</f>
        <v>0</v>
      </c>
      <c r="AC19" s="72" cm="1">
        <f t="array" ref="AC19">_xlfn.IFS($Y19=0,0,AND($Y19&gt;0,$Y19&lt;=0.5),2,AND($Y19&gt;0.5,$Y19&lt;=1),3,AND($Y19&gt;1,$Y19&lt;=1.5),4,AND($Y19&gt;1.5,$Y19&lt;=2),5,AND($Y19&gt;2,$Y19&lt;=3),6,AND($Y19&gt;3,$Y19&lt;=4),7,$Y19&gt;4,8)</f>
        <v>0</v>
      </c>
      <c r="AD19" s="54">
        <v>1.9</v>
      </c>
      <c r="AE19" s="54">
        <v>0.3</v>
      </c>
      <c r="AF19" s="54">
        <f t="shared" si="1"/>
        <v>2.1999999999999997</v>
      </c>
      <c r="AG19" s="55">
        <v>2568</v>
      </c>
      <c r="AH19" s="54" t="s">
        <v>66</v>
      </c>
    </row>
    <row r="20" spans="1:34" x14ac:dyDescent="0.2">
      <c r="A20" s="52">
        <v>17</v>
      </c>
      <c r="B20" s="52" t="s">
        <v>26</v>
      </c>
      <c r="C20" s="52" t="s">
        <v>27</v>
      </c>
      <c r="D20" s="52" t="s">
        <v>48</v>
      </c>
      <c r="E20" s="52" t="s">
        <v>112</v>
      </c>
      <c r="F20" s="53" t="s">
        <v>113</v>
      </c>
      <c r="G20" s="54">
        <v>0.3</v>
      </c>
      <c r="H20" s="55" t="s">
        <v>31</v>
      </c>
      <c r="I20" s="55">
        <v>2569</v>
      </c>
      <c r="J20" s="56">
        <v>45716</v>
      </c>
      <c r="K20" s="56">
        <v>46064</v>
      </c>
      <c r="L20" s="55" t="s">
        <v>34</v>
      </c>
      <c r="M20" s="55" t="s">
        <v>35</v>
      </c>
      <c r="N20" s="55" t="s">
        <v>36</v>
      </c>
      <c r="O20" s="54">
        <v>63298.49018181819</v>
      </c>
      <c r="P20" s="54">
        <v>18387.635999999999</v>
      </c>
      <c r="Q20" s="54" t="s">
        <v>37</v>
      </c>
      <c r="R20" s="30" t="s">
        <v>114</v>
      </c>
      <c r="S20" s="30" t="s">
        <v>115</v>
      </c>
      <c r="T20" s="54" t="s">
        <v>53</v>
      </c>
      <c r="U20" s="54"/>
      <c r="V20" s="54"/>
      <c r="W20" s="54">
        <f>AF20</f>
        <v>0.32999999999999996</v>
      </c>
      <c r="X20" s="54"/>
      <c r="Y20" s="54"/>
      <c r="Z20" s="72" cm="1">
        <f t="array" ref="Z20">_xlfn.LET(
_xlpm.a,IF(ISNUMBER($U20),$U20,IFERROR(_xlfn.NUMBERVALUE(TRIM($U20)),0)),
_xlpm.b,IF(ISNUMBER($V20),$V20,IFERROR(_xlfn.NUMBERVALUE(TRIM($V20)),0)),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20" s="72" cm="1">
        <f t="array" ref="AA20">_xlfn.IFS($W20=0,0,AND($W20&gt;0,$W20&lt;=0.5),2,AND($W20&gt;0.5,$W20&lt;=1),3,AND($W20&gt;1,$W20&lt;=1.5),4,AND($W20&gt;1.5,$W20&lt;=2),5,AND($W20&gt;2,$W20&lt;=3),6,AND($W20&gt;3,$W20&lt;=4),7,$W20&gt;4,8)</f>
        <v>2</v>
      </c>
      <c r="AB20" s="72" cm="1">
        <f t="array" ref="AB20">_xlfn.IFS($X20=0,0,AND($X20&gt;0,$X20&lt;=0.5),2,AND($X20&gt;0.5,$X20&lt;=1),3,AND($X20&gt;1,$X20&lt;=1.5),4,AND($X20&gt;1.5,$X20&lt;=2),5,AND($X20&gt;2,$X20&lt;=3),6,AND($X20&gt;3,$X20&lt;=4),7,$X20&gt;4,8)</f>
        <v>0</v>
      </c>
      <c r="AC20" s="72" cm="1">
        <f t="array" ref="AC20">_xlfn.IFS($Y20=0,0,AND($Y20&gt;0,$Y20&lt;=0.5),2,AND($Y20&gt;0.5,$Y20&lt;=1),3,AND($Y20&gt;1,$Y20&lt;=1.5),4,AND($Y20&gt;1.5,$Y20&lt;=2),5,AND($Y20&gt;2,$Y20&lt;=3),6,AND($Y20&gt;3,$Y20&lt;=4),7,$Y20&gt;4,8)</f>
        <v>0</v>
      </c>
      <c r="AD20" s="54">
        <v>0.28499999999999998</v>
      </c>
      <c r="AE20" s="54">
        <v>4.4999999999999998E-2</v>
      </c>
      <c r="AF20" s="54">
        <f t="shared" si="1"/>
        <v>0.32999999999999996</v>
      </c>
      <c r="AG20" s="55">
        <v>2568</v>
      </c>
      <c r="AH20" s="54" t="s">
        <v>47</v>
      </c>
    </row>
    <row r="21" spans="1:34" x14ac:dyDescent="0.2">
      <c r="A21" s="52">
        <v>18</v>
      </c>
      <c r="B21" s="52" t="s">
        <v>26</v>
      </c>
      <c r="C21" s="52" t="s">
        <v>27</v>
      </c>
      <c r="D21" s="52" t="s">
        <v>28</v>
      </c>
      <c r="E21" s="52" t="s">
        <v>116</v>
      </c>
      <c r="F21" s="53" t="s">
        <v>117</v>
      </c>
      <c r="G21" s="54">
        <v>3.6</v>
      </c>
      <c r="H21" s="55" t="s">
        <v>118</v>
      </c>
      <c r="I21" s="55">
        <v>2569</v>
      </c>
      <c r="J21" s="56">
        <v>46081</v>
      </c>
      <c r="K21" s="56">
        <v>46229</v>
      </c>
      <c r="L21" s="55" t="s">
        <v>90</v>
      </c>
      <c r="M21" s="55" t="s">
        <v>35</v>
      </c>
      <c r="N21" s="55" t="s">
        <v>119</v>
      </c>
      <c r="O21" s="54">
        <v>822500</v>
      </c>
      <c r="P21" s="54">
        <v>405300</v>
      </c>
      <c r="Q21" s="54" t="s">
        <v>37</v>
      </c>
      <c r="R21" s="30" t="s">
        <v>120</v>
      </c>
      <c r="S21" s="30" t="s">
        <v>121</v>
      </c>
      <c r="T21" s="54" t="s">
        <v>40</v>
      </c>
      <c r="U21" s="54"/>
      <c r="V21" s="54"/>
      <c r="W21" s="54"/>
      <c r="X21" s="54">
        <f>AF21</f>
        <v>3.96</v>
      </c>
      <c r="Y21" s="54"/>
      <c r="Z21" s="72" cm="1">
        <f t="array" ref="Z21">_xlfn.LET(
_xlpm.a,IF(ISNUMBER($U21),$U21,IFERROR(_xlfn.NUMBERVALUE(TRIM($U21)),0)),
_xlpm.b,IF(ISNUMBER($V21),$V21,IFERROR(_xlfn.NUMBERVALUE(TRIM($V21)),0)),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21" s="72" cm="1">
        <f t="array" ref="AA21">_xlfn.IFS($W21=0,0,AND($W21&gt;0,$W21&lt;=0.5),2,AND($W21&gt;0.5,$W21&lt;=1),3,AND($W21&gt;1,$W21&lt;=1.5),4,AND($W21&gt;1.5,$W21&lt;=2),5,AND($W21&gt;2,$W21&lt;=3),6,AND($W21&gt;3,$W21&lt;=4),7,$W21&gt;4,8)</f>
        <v>0</v>
      </c>
      <c r="AB21" s="72" cm="1">
        <f t="array" ref="AB21">_xlfn.IFS($X21=0,0,AND($X21&gt;0,$X21&lt;=0.5),2,AND($X21&gt;0.5,$X21&lt;=1),3,AND($X21&gt;1,$X21&lt;=1.5),4,AND($X21&gt;1.5,$X21&lt;=2),5,AND($X21&gt;2,$X21&lt;=3),6,AND($X21&gt;3,$X21&lt;=4),7,$X21&gt;4,8)</f>
        <v>7</v>
      </c>
      <c r="AC21" s="72" cm="1">
        <f t="array" ref="AC21">_xlfn.IFS($Y21=0,0,AND($Y21&gt;0,$Y21&lt;=0.5),2,AND($Y21&gt;0.5,$Y21&lt;=1),3,AND($Y21&gt;1,$Y21&lt;=1.5),4,AND($Y21&gt;1.5,$Y21&lt;=2),5,AND($Y21&gt;2,$Y21&lt;=3),6,AND($Y21&gt;3,$Y21&lt;=4),7,$Y21&gt;4,8)</f>
        <v>0</v>
      </c>
      <c r="AD21" s="54">
        <v>3.42</v>
      </c>
      <c r="AE21" s="54">
        <v>0.54</v>
      </c>
      <c r="AF21" s="54">
        <f t="shared" si="1"/>
        <v>3.96</v>
      </c>
      <c r="AG21" s="55">
        <v>2569</v>
      </c>
      <c r="AH21" s="54" t="s">
        <v>41</v>
      </c>
    </row>
    <row r="22" spans="1:34" x14ac:dyDescent="0.2">
      <c r="A22" s="52">
        <v>19</v>
      </c>
      <c r="B22" s="52" t="s">
        <v>26</v>
      </c>
      <c r="C22" s="52" t="s">
        <v>122</v>
      </c>
      <c r="D22" s="52" t="s">
        <v>48</v>
      </c>
      <c r="E22" s="52" t="s">
        <v>123</v>
      </c>
      <c r="F22" s="53" t="s">
        <v>124</v>
      </c>
      <c r="G22" s="54">
        <v>5.2</v>
      </c>
      <c r="H22" s="55" t="s">
        <v>56</v>
      </c>
      <c r="I22" s="55">
        <v>2569</v>
      </c>
      <c r="J22" s="56">
        <v>46173</v>
      </c>
      <c r="K22" s="56">
        <v>46234</v>
      </c>
      <c r="L22" s="55" t="s">
        <v>34</v>
      </c>
      <c r="M22" s="55" t="s">
        <v>35</v>
      </c>
      <c r="N22" s="55" t="s">
        <v>36</v>
      </c>
      <c r="O22" s="54">
        <v>609637.44333333336</v>
      </c>
      <c r="P22" s="54">
        <v>299150</v>
      </c>
      <c r="Q22" s="54" t="s">
        <v>37</v>
      </c>
      <c r="R22" s="30" t="s">
        <v>125</v>
      </c>
      <c r="S22" s="30" t="s">
        <v>126</v>
      </c>
      <c r="T22" s="54" t="s">
        <v>40</v>
      </c>
      <c r="U22" s="54"/>
      <c r="V22" s="54"/>
      <c r="W22" s="54"/>
      <c r="X22" s="54">
        <f>AF22</f>
        <v>5.72</v>
      </c>
      <c r="Y22" s="54"/>
      <c r="Z22" s="72" cm="1">
        <f t="array" ref="Z22">_xlfn.LET(
_xlpm.a,IF(ISNUMBER($U22),$U22,IFERROR(_xlfn.NUMBERVALUE(TRIM($U22)),0)),
_xlpm.b,IF(ISNUMBER($V22),$V22,IFERROR(_xlfn.NUMBERVALUE(TRIM($V22)),0)),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22" s="72" cm="1">
        <f t="array" ref="AA22">_xlfn.IFS($W22=0,0,AND($W22&gt;0,$W22&lt;=0.5),2,AND($W22&gt;0.5,$W22&lt;=1),3,AND($W22&gt;1,$W22&lt;=1.5),4,AND($W22&gt;1.5,$W22&lt;=2),5,AND($W22&gt;2,$W22&lt;=3),6,AND($W22&gt;3,$W22&lt;=4),7,$W22&gt;4,8)</f>
        <v>0</v>
      </c>
      <c r="AB22" s="72" cm="1">
        <f t="array" ref="AB22">_xlfn.IFS($X22=0,0,AND($X22&gt;0,$X22&lt;=0.5),2,AND($X22&gt;0.5,$X22&lt;=1),3,AND($X22&gt;1,$X22&lt;=1.5),4,AND($X22&gt;1.5,$X22&lt;=2),5,AND($X22&gt;2,$X22&lt;=3),6,AND($X22&gt;3,$X22&lt;=4),7,$X22&gt;4,8)</f>
        <v>8</v>
      </c>
      <c r="AC22" s="72" cm="1">
        <f t="array" ref="AC22">_xlfn.IFS($Y22=0,0,AND($Y22&gt;0,$Y22&lt;=0.5),2,AND($Y22&gt;0.5,$Y22&lt;=1),3,AND($Y22&gt;1,$Y22&lt;=1.5),4,AND($Y22&gt;1.5,$Y22&lt;=2),5,AND($Y22&gt;2,$Y22&lt;=3),6,AND($Y22&gt;3,$Y22&lt;=4),7,$Y22&gt;4,8)</f>
        <v>0</v>
      </c>
      <c r="AD22" s="54">
        <v>4.9399999999999995</v>
      </c>
      <c r="AE22" s="54">
        <v>0.78</v>
      </c>
      <c r="AF22" s="54">
        <f t="shared" si="1"/>
        <v>5.72</v>
      </c>
      <c r="AG22" s="55">
        <v>2568</v>
      </c>
      <c r="AH22" s="54" t="s">
        <v>47</v>
      </c>
    </row>
    <row r="23" spans="1:34" x14ac:dyDescent="0.2">
      <c r="A23" s="52">
        <v>20</v>
      </c>
      <c r="B23" s="52" t="s">
        <v>26</v>
      </c>
      <c r="C23" s="52" t="s">
        <v>27</v>
      </c>
      <c r="D23" s="52" t="s">
        <v>48</v>
      </c>
      <c r="E23" s="52" t="s">
        <v>127</v>
      </c>
      <c r="F23" s="53" t="s">
        <v>128</v>
      </c>
      <c r="G23" s="54">
        <v>0.35</v>
      </c>
      <c r="H23" s="55" t="s">
        <v>31</v>
      </c>
      <c r="I23" s="55">
        <v>2569</v>
      </c>
      <c r="J23" s="56">
        <v>45716</v>
      </c>
      <c r="K23" s="56">
        <v>46064</v>
      </c>
      <c r="L23" s="55" t="s">
        <v>34</v>
      </c>
      <c r="M23" s="55" t="s">
        <v>35</v>
      </c>
      <c r="N23" s="55" t="s">
        <v>36</v>
      </c>
      <c r="O23" s="54">
        <v>73848.238545454558</v>
      </c>
      <c r="P23" s="54">
        <v>21452.242000000002</v>
      </c>
      <c r="Q23" s="54" t="s">
        <v>37</v>
      </c>
      <c r="R23" s="30" t="s">
        <v>129</v>
      </c>
      <c r="S23" s="30" t="s">
        <v>130</v>
      </c>
      <c r="T23" s="54" t="s">
        <v>53</v>
      </c>
      <c r="U23" s="54"/>
      <c r="V23" s="54"/>
      <c r="W23" s="54">
        <f>AF23</f>
        <v>0.38499999999999995</v>
      </c>
      <c r="X23" s="54"/>
      <c r="Y23" s="54"/>
      <c r="Z23" s="72" cm="1">
        <f t="array" ref="Z23">_xlfn.LET(
_xlpm.a,IF(ISNUMBER($U23),$U23,IFERROR(_xlfn.NUMBERVALUE(TRIM($U23)),0)),
_xlpm.b,IF(ISNUMBER($V23),$V23,IFERROR(_xlfn.NUMBERVALUE(TRIM($V23)),0)),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23" s="72" cm="1">
        <f t="array" ref="AA23">_xlfn.IFS($W23=0,0,AND($W23&gt;0,$W23&lt;=0.5),2,AND($W23&gt;0.5,$W23&lt;=1),3,AND($W23&gt;1,$W23&lt;=1.5),4,AND($W23&gt;1.5,$W23&lt;=2),5,AND($W23&gt;2,$W23&lt;=3),6,AND($W23&gt;3,$W23&lt;=4),7,$W23&gt;4,8)</f>
        <v>2</v>
      </c>
      <c r="AB23" s="72" cm="1">
        <f t="array" ref="AB23">_xlfn.IFS($X23=0,0,AND($X23&gt;0,$X23&lt;=0.5),2,AND($X23&gt;0.5,$X23&lt;=1),3,AND($X23&gt;1,$X23&lt;=1.5),4,AND($X23&gt;1.5,$X23&lt;=2),5,AND($X23&gt;2,$X23&lt;=3),6,AND($X23&gt;3,$X23&lt;=4),7,$X23&gt;4,8)</f>
        <v>0</v>
      </c>
      <c r="AC23" s="72" cm="1">
        <f t="array" ref="AC23">_xlfn.IFS($Y23=0,0,AND($Y23&gt;0,$Y23&lt;=0.5),2,AND($Y23&gt;0.5,$Y23&lt;=1),3,AND($Y23&gt;1,$Y23&lt;=1.5),4,AND($Y23&gt;1.5,$Y23&lt;=2),5,AND($Y23&gt;2,$Y23&lt;=3),6,AND($Y23&gt;3,$Y23&lt;=4),7,$Y23&gt;4,8)</f>
        <v>0</v>
      </c>
      <c r="AD23" s="54">
        <v>0.33249999999999996</v>
      </c>
      <c r="AE23" s="54">
        <v>5.2499999999999998E-2</v>
      </c>
      <c r="AF23" s="54">
        <f t="shared" si="1"/>
        <v>0.38499999999999995</v>
      </c>
      <c r="AG23" s="55">
        <v>2568</v>
      </c>
      <c r="AH23" s="54" t="s">
        <v>47</v>
      </c>
    </row>
    <row r="24" spans="1:34" x14ac:dyDescent="0.2">
      <c r="A24" s="52">
        <v>21</v>
      </c>
      <c r="B24" s="52" t="s">
        <v>26</v>
      </c>
      <c r="C24" s="52" t="s">
        <v>27</v>
      </c>
      <c r="D24" s="52" t="s">
        <v>28</v>
      </c>
      <c r="E24" s="52" t="s">
        <v>131</v>
      </c>
      <c r="F24" s="53" t="s">
        <v>132</v>
      </c>
      <c r="G24" s="54">
        <v>2.2999999999999998</v>
      </c>
      <c r="H24" s="55" t="s">
        <v>31</v>
      </c>
      <c r="I24" s="55">
        <v>2569</v>
      </c>
      <c r="J24" s="56">
        <v>45961</v>
      </c>
      <c r="K24" s="56">
        <v>46235</v>
      </c>
      <c r="L24" s="55" t="s">
        <v>133</v>
      </c>
      <c r="M24" s="55" t="s">
        <v>134</v>
      </c>
      <c r="N24" s="55" t="s">
        <v>36</v>
      </c>
      <c r="O24" s="54">
        <v>116400</v>
      </c>
      <c r="P24" s="54">
        <v>57900</v>
      </c>
      <c r="Q24" s="54" t="s">
        <v>787</v>
      </c>
      <c r="R24" s="30" t="s">
        <v>135</v>
      </c>
      <c r="S24" s="30" t="s">
        <v>136</v>
      </c>
      <c r="T24" s="54" t="s">
        <v>53</v>
      </c>
      <c r="U24" s="54"/>
      <c r="V24" s="54"/>
      <c r="W24" s="54">
        <f>AF24</f>
        <v>2.5299999999999994</v>
      </c>
      <c r="X24" s="54"/>
      <c r="Y24" s="54"/>
      <c r="Z24" s="72" cm="1">
        <f t="array" ref="Z24">_xlfn.LET(
_xlpm.a,IF(ISNUMBER($U24),$U24,IFERROR(_xlfn.NUMBERVALUE(TRIM($U24)),0)),
_xlpm.b,IF(ISNUMBER($V24),$V24,IFERROR(_xlfn.NUMBERVALUE(TRIM($V24)),0)),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24" s="72" cm="1">
        <f t="array" ref="AA24">_xlfn.IFS($W24=0,0,AND($W24&gt;0,$W24&lt;=0.5),2,AND($W24&gt;0.5,$W24&lt;=1),3,AND($W24&gt;1,$W24&lt;=1.5),4,AND($W24&gt;1.5,$W24&lt;=2),5,AND($W24&gt;2,$W24&lt;=3),6,AND($W24&gt;3,$W24&lt;=4),7,$W24&gt;4,8)</f>
        <v>6</v>
      </c>
      <c r="AB24" s="72" cm="1">
        <f t="array" ref="AB24">_xlfn.IFS($X24=0,0,AND($X24&gt;0,$X24&lt;=0.5),2,AND($X24&gt;0.5,$X24&lt;=1),3,AND($X24&gt;1,$X24&lt;=1.5),4,AND($X24&gt;1.5,$X24&lt;=2),5,AND($X24&gt;2,$X24&lt;=3),6,AND($X24&gt;3,$X24&lt;=4),7,$X24&gt;4,8)</f>
        <v>0</v>
      </c>
      <c r="AC24" s="72" cm="1">
        <f t="array" ref="AC24">_xlfn.IFS($Y24=0,0,AND($Y24&gt;0,$Y24&lt;=0.5),2,AND($Y24&gt;0.5,$Y24&lt;=1),3,AND($Y24&gt;1,$Y24&lt;=1.5),4,AND($Y24&gt;1.5,$Y24&lt;=2),5,AND($Y24&gt;2,$Y24&lt;=3),6,AND($Y24&gt;3,$Y24&lt;=4),7,$Y24&gt;4,8)</f>
        <v>0</v>
      </c>
      <c r="AD24" s="54">
        <v>2.1849999999999996</v>
      </c>
      <c r="AE24" s="54">
        <v>0.34499999999999997</v>
      </c>
      <c r="AF24" s="54">
        <f t="shared" si="1"/>
        <v>2.5299999999999994</v>
      </c>
      <c r="AG24" s="55">
        <v>2570</v>
      </c>
      <c r="AH24" s="54" t="s">
        <v>66</v>
      </c>
    </row>
    <row r="25" spans="1:34" x14ac:dyDescent="0.2">
      <c r="A25" s="52">
        <v>22</v>
      </c>
      <c r="B25" s="52" t="s">
        <v>26</v>
      </c>
      <c r="C25" s="52" t="s">
        <v>27</v>
      </c>
      <c r="D25" s="52" t="s">
        <v>28</v>
      </c>
      <c r="E25" s="52" t="s">
        <v>137</v>
      </c>
      <c r="F25" s="53" t="s">
        <v>138</v>
      </c>
      <c r="G25" s="54">
        <v>5.8</v>
      </c>
      <c r="H25" s="55" t="s">
        <v>44</v>
      </c>
      <c r="I25" s="55">
        <v>2569</v>
      </c>
      <c r="J25" s="56">
        <v>45808</v>
      </c>
      <c r="K25" s="56">
        <v>46264</v>
      </c>
      <c r="L25" s="55" t="s">
        <v>133</v>
      </c>
      <c r="M25" s="55" t="s">
        <v>35</v>
      </c>
      <c r="N25" s="55" t="s">
        <v>71</v>
      </c>
      <c r="O25" s="54">
        <v>420000</v>
      </c>
      <c r="P25" s="54">
        <v>277920</v>
      </c>
      <c r="Q25" s="54" t="s">
        <v>787</v>
      </c>
      <c r="R25" s="30" t="s">
        <v>139</v>
      </c>
      <c r="S25" s="30" t="s">
        <v>140</v>
      </c>
      <c r="T25" s="54" t="s">
        <v>53</v>
      </c>
      <c r="U25" s="54"/>
      <c r="V25" s="54"/>
      <c r="W25" s="54">
        <f>AF25</f>
        <v>6.38</v>
      </c>
      <c r="X25" s="54"/>
      <c r="Y25" s="54"/>
      <c r="Z25" s="72" cm="1">
        <f t="array" ref="Z25">_xlfn.LET(
_xlpm.a,IF(ISNUMBER($U25),$U25,IFERROR(_xlfn.NUMBERVALUE(TRIM($U25)),0)),
_xlpm.b,IF(ISNUMBER($V25),$V25,IFERROR(_xlfn.NUMBERVALUE(TRIM($V25)),0)),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25" s="72" cm="1">
        <f t="array" ref="AA25">_xlfn.IFS($W25=0,0,AND($W25&gt;0,$W25&lt;=0.5),2,AND($W25&gt;0.5,$W25&lt;=1),3,AND($W25&gt;1,$W25&lt;=1.5),4,AND($W25&gt;1.5,$W25&lt;=2),5,AND($W25&gt;2,$W25&lt;=3),6,AND($W25&gt;3,$W25&lt;=4),7,$W25&gt;4,8)</f>
        <v>8</v>
      </c>
      <c r="AB25" s="72" cm="1">
        <f t="array" ref="AB25">_xlfn.IFS($X25=0,0,AND($X25&gt;0,$X25&lt;=0.5),2,AND($X25&gt;0.5,$X25&lt;=1),3,AND($X25&gt;1,$X25&lt;=1.5),4,AND($X25&gt;1.5,$X25&lt;=2),5,AND($X25&gt;2,$X25&lt;=3),6,AND($X25&gt;3,$X25&lt;=4),7,$X25&gt;4,8)</f>
        <v>0</v>
      </c>
      <c r="AC25" s="72" cm="1">
        <f t="array" ref="AC25">_xlfn.IFS($Y25=0,0,AND($Y25&gt;0,$Y25&lt;=0.5),2,AND($Y25&gt;0.5,$Y25&lt;=1),3,AND($Y25&gt;1,$Y25&lt;=1.5),4,AND($Y25&gt;1.5,$Y25&lt;=2),5,AND($Y25&gt;2,$Y25&lt;=3),6,AND($Y25&gt;3,$Y25&lt;=4),7,$Y25&gt;4,8)</f>
        <v>0</v>
      </c>
      <c r="AD25" s="54">
        <v>5.51</v>
      </c>
      <c r="AE25" s="54">
        <v>0.87</v>
      </c>
      <c r="AF25" s="54">
        <f t="shared" si="1"/>
        <v>6.38</v>
      </c>
      <c r="AG25" s="55">
        <v>2570</v>
      </c>
      <c r="AH25" s="54" t="s">
        <v>66</v>
      </c>
    </row>
    <row r="26" spans="1:34" x14ac:dyDescent="0.2">
      <c r="A26" s="52">
        <v>23</v>
      </c>
      <c r="B26" s="52" t="s">
        <v>26</v>
      </c>
      <c r="C26" s="52" t="s">
        <v>27</v>
      </c>
      <c r="D26" s="52" t="s">
        <v>48</v>
      </c>
      <c r="E26" s="52" t="s">
        <v>141</v>
      </c>
      <c r="F26" s="53" t="s">
        <v>142</v>
      </c>
      <c r="G26" s="54">
        <v>0.3</v>
      </c>
      <c r="H26" s="55" t="s">
        <v>31</v>
      </c>
      <c r="I26" s="55">
        <v>2569</v>
      </c>
      <c r="J26" s="56">
        <v>45716</v>
      </c>
      <c r="K26" s="56">
        <v>46064</v>
      </c>
      <c r="L26" s="55" t="s">
        <v>34</v>
      </c>
      <c r="M26" s="55" t="s">
        <v>35</v>
      </c>
      <c r="N26" s="55" t="s">
        <v>36</v>
      </c>
      <c r="O26" s="54">
        <v>63298.49018181819</v>
      </c>
      <c r="P26" s="54">
        <v>18387.635999999999</v>
      </c>
      <c r="Q26" s="54" t="s">
        <v>37</v>
      </c>
      <c r="R26" s="30" t="s">
        <v>143</v>
      </c>
      <c r="S26" s="30" t="s">
        <v>144</v>
      </c>
      <c r="T26" s="54" t="s">
        <v>53</v>
      </c>
      <c r="U26" s="54"/>
      <c r="V26" s="54"/>
      <c r="W26" s="54">
        <f>AF26</f>
        <v>0.32999999999999996</v>
      </c>
      <c r="X26" s="54"/>
      <c r="Y26" s="54"/>
      <c r="Z26" s="72" cm="1">
        <f t="array" ref="Z26">_xlfn.LET(
_xlpm.a,IF(ISNUMBER($U26),$U26,IFERROR(_xlfn.NUMBERVALUE(TRIM($U26)),0)),
_xlpm.b,IF(ISNUMBER($V26),$V26,IFERROR(_xlfn.NUMBERVALUE(TRIM($V26)),0)),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26" s="72" cm="1">
        <f t="array" ref="AA26">_xlfn.IFS($W26=0,0,AND($W26&gt;0,$W26&lt;=0.5),2,AND($W26&gt;0.5,$W26&lt;=1),3,AND($W26&gt;1,$W26&lt;=1.5),4,AND($W26&gt;1.5,$W26&lt;=2),5,AND($W26&gt;2,$W26&lt;=3),6,AND($W26&gt;3,$W26&lt;=4),7,$W26&gt;4,8)</f>
        <v>2</v>
      </c>
      <c r="AB26" s="72" cm="1">
        <f t="array" ref="AB26">_xlfn.IFS($X26=0,0,AND($X26&gt;0,$X26&lt;=0.5),2,AND($X26&gt;0.5,$X26&lt;=1),3,AND($X26&gt;1,$X26&lt;=1.5),4,AND($X26&gt;1.5,$X26&lt;=2),5,AND($X26&gt;2,$X26&lt;=3),6,AND($X26&gt;3,$X26&lt;=4),7,$X26&gt;4,8)</f>
        <v>0</v>
      </c>
      <c r="AC26" s="72" cm="1">
        <f t="array" ref="AC26">_xlfn.IFS($Y26=0,0,AND($Y26&gt;0,$Y26&lt;=0.5),2,AND($Y26&gt;0.5,$Y26&lt;=1),3,AND($Y26&gt;1,$Y26&lt;=1.5),4,AND($Y26&gt;1.5,$Y26&lt;=2),5,AND($Y26&gt;2,$Y26&lt;=3),6,AND($Y26&gt;3,$Y26&lt;=4),7,$Y26&gt;4,8)</f>
        <v>0</v>
      </c>
      <c r="AD26" s="54">
        <v>0.28499999999999998</v>
      </c>
      <c r="AE26" s="54">
        <v>4.4999999999999998E-2</v>
      </c>
      <c r="AF26" s="54">
        <f t="shared" si="1"/>
        <v>0.32999999999999996</v>
      </c>
      <c r="AG26" s="55">
        <v>2568</v>
      </c>
      <c r="AH26" s="54" t="s">
        <v>47</v>
      </c>
    </row>
    <row r="27" spans="1:34" x14ac:dyDescent="0.2">
      <c r="A27" s="52">
        <v>24</v>
      </c>
      <c r="B27" s="52" t="s">
        <v>26</v>
      </c>
      <c r="C27" s="52" t="s">
        <v>27</v>
      </c>
      <c r="D27" s="52" t="s">
        <v>28</v>
      </c>
      <c r="E27" s="52" t="s">
        <v>145</v>
      </c>
      <c r="F27" s="53" t="s">
        <v>146</v>
      </c>
      <c r="G27" s="54">
        <v>1.5</v>
      </c>
      <c r="H27" s="55" t="s">
        <v>56</v>
      </c>
      <c r="I27" s="55">
        <v>2569</v>
      </c>
      <c r="J27" s="56">
        <v>46173</v>
      </c>
      <c r="K27" s="56">
        <v>46279</v>
      </c>
      <c r="L27" s="55" t="s">
        <v>133</v>
      </c>
      <c r="M27" s="55" t="s">
        <v>134</v>
      </c>
      <c r="N27" s="55" t="s">
        <v>36</v>
      </c>
      <c r="O27" s="54">
        <v>94125</v>
      </c>
      <c r="P27" s="54">
        <v>86850</v>
      </c>
      <c r="Q27" s="54" t="s">
        <v>37</v>
      </c>
      <c r="R27" s="30" t="s">
        <v>147</v>
      </c>
      <c r="S27" s="30" t="s">
        <v>148</v>
      </c>
      <c r="T27" s="54" t="s">
        <v>53</v>
      </c>
      <c r="U27" s="54"/>
      <c r="V27" s="54"/>
      <c r="W27" s="54">
        <f>AF27</f>
        <v>1.65</v>
      </c>
      <c r="X27" s="54"/>
      <c r="Y27" s="54"/>
      <c r="Z27" s="72" cm="1">
        <f t="array" ref="Z27">_xlfn.LET(
_xlpm.a,IF(ISNUMBER($U27),$U27,IFERROR(_xlfn.NUMBERVALUE(TRIM($U27)),0)),
_xlpm.b,IF(ISNUMBER($V27),$V27,IFERROR(_xlfn.NUMBERVALUE(TRIM($V27)),0)),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27" s="72" cm="1">
        <f t="array" ref="AA27">_xlfn.IFS($W27=0,0,AND($W27&gt;0,$W27&lt;=0.5),2,AND($W27&gt;0.5,$W27&lt;=1),3,AND($W27&gt;1,$W27&lt;=1.5),4,AND($W27&gt;1.5,$W27&lt;=2),5,AND($W27&gt;2,$W27&lt;=3),6,AND($W27&gt;3,$W27&lt;=4),7,$W27&gt;4,8)</f>
        <v>5</v>
      </c>
      <c r="AB27" s="72" cm="1">
        <f t="array" ref="AB27">_xlfn.IFS($X27=0,0,AND($X27&gt;0,$X27&lt;=0.5),2,AND($X27&gt;0.5,$X27&lt;=1),3,AND($X27&gt;1,$X27&lt;=1.5),4,AND($X27&gt;1.5,$X27&lt;=2),5,AND($X27&gt;2,$X27&lt;=3),6,AND($X27&gt;3,$X27&lt;=4),7,$X27&gt;4,8)</f>
        <v>0</v>
      </c>
      <c r="AC27" s="72" cm="1">
        <f t="array" ref="AC27">_xlfn.IFS($Y27=0,0,AND($Y27&gt;0,$Y27&lt;=0.5),2,AND($Y27&gt;0.5,$Y27&lt;=1),3,AND($Y27&gt;1,$Y27&lt;=1.5),4,AND($Y27&gt;1.5,$Y27&lt;=2),5,AND($Y27&gt;2,$Y27&lt;=3),6,AND($Y27&gt;3,$Y27&lt;=4),7,$Y27&gt;4,8)</f>
        <v>0</v>
      </c>
      <c r="AD27" s="54">
        <v>1.4249999999999998</v>
      </c>
      <c r="AE27" s="54">
        <v>0.22499999999999998</v>
      </c>
      <c r="AF27" s="54">
        <f t="shared" si="1"/>
        <v>1.65</v>
      </c>
      <c r="AG27" s="55">
        <v>2569</v>
      </c>
      <c r="AH27" s="54" t="s">
        <v>59</v>
      </c>
    </row>
    <row r="28" spans="1:34" x14ac:dyDescent="0.2">
      <c r="A28" s="52">
        <v>25</v>
      </c>
      <c r="B28" s="57" t="s">
        <v>26</v>
      </c>
      <c r="C28" s="57" t="s">
        <v>149</v>
      </c>
      <c r="D28" s="57" t="s">
        <v>28</v>
      </c>
      <c r="E28" s="57" t="s">
        <v>150</v>
      </c>
      <c r="F28" s="58" t="s">
        <v>151</v>
      </c>
      <c r="G28" s="59">
        <v>10.4</v>
      </c>
      <c r="H28" s="55" t="s">
        <v>118</v>
      </c>
      <c r="I28" s="60">
        <v>2569</v>
      </c>
      <c r="J28" s="61">
        <v>46203</v>
      </c>
      <c r="K28" s="61">
        <v>46295</v>
      </c>
      <c r="L28" s="60" t="s">
        <v>90</v>
      </c>
      <c r="M28" s="60" t="s">
        <v>35</v>
      </c>
      <c r="N28" s="60" t="s">
        <v>36</v>
      </c>
      <c r="O28" s="54">
        <v>1313624.0123857302</v>
      </c>
      <c r="P28" s="54">
        <v>487132</v>
      </c>
      <c r="Q28" s="54" t="s">
        <v>37</v>
      </c>
      <c r="R28" s="30" t="s">
        <v>152</v>
      </c>
      <c r="S28" s="30" t="s">
        <v>153</v>
      </c>
      <c r="T28" s="54" t="s">
        <v>40</v>
      </c>
      <c r="U28" s="54"/>
      <c r="V28" s="54"/>
      <c r="W28" s="54"/>
      <c r="X28" s="54">
        <f>AF28</f>
        <v>11.44</v>
      </c>
      <c r="Y28" s="54"/>
      <c r="Z28" s="72" cm="1">
        <f t="array" ref="Z28">_xlfn.LET(
_xlpm.a,IF(ISNUMBER($U28),$U28,IFERROR(_xlfn.NUMBERVALUE(TRIM($U28)),0)),
_xlpm.b,IF(ISNUMBER($V28),$V28,IFERROR(_xlfn.NUMBERVALUE(TRIM($V28)),0)),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28" s="72" cm="1">
        <f t="array" ref="AA28">_xlfn.IFS($W28=0,0,AND($W28&gt;0,$W28&lt;=0.5),2,AND($W28&gt;0.5,$W28&lt;=1),3,AND($W28&gt;1,$W28&lt;=1.5),4,AND($W28&gt;1.5,$W28&lt;=2),5,AND($W28&gt;2,$W28&lt;=3),6,AND($W28&gt;3,$W28&lt;=4),7,$W28&gt;4,8)</f>
        <v>0</v>
      </c>
      <c r="AB28" s="72" cm="1">
        <f t="array" ref="AB28">_xlfn.IFS($X28=0,0,AND($X28&gt;0,$X28&lt;=0.5),2,AND($X28&gt;0.5,$X28&lt;=1),3,AND($X28&gt;1,$X28&lt;=1.5),4,AND($X28&gt;1.5,$X28&lt;=2),5,AND($X28&gt;2,$X28&lt;=3),6,AND($X28&gt;3,$X28&lt;=4),7,$X28&gt;4,8)</f>
        <v>8</v>
      </c>
      <c r="AC28" s="72" cm="1">
        <f t="array" ref="AC28">_xlfn.IFS($Y28=0,0,AND($Y28&gt;0,$Y28&lt;=0.5),2,AND($Y28&gt;0.5,$Y28&lt;=1),3,AND($Y28&gt;1,$Y28&lt;=1.5),4,AND($Y28&gt;1.5,$Y28&lt;=2),5,AND($Y28&gt;2,$Y28&lt;=3),6,AND($Y28&gt;3,$Y28&lt;=4),7,$Y28&gt;4,8)</f>
        <v>0</v>
      </c>
      <c r="AD28" s="54">
        <v>9.879999999999999</v>
      </c>
      <c r="AE28" s="54">
        <v>1.56</v>
      </c>
      <c r="AF28" s="54">
        <f t="shared" si="1"/>
        <v>11.44</v>
      </c>
      <c r="AG28" s="55">
        <v>2568</v>
      </c>
      <c r="AH28" s="54" t="s">
        <v>47</v>
      </c>
    </row>
    <row r="29" spans="1:34" x14ac:dyDescent="0.2">
      <c r="A29" s="52">
        <v>26</v>
      </c>
      <c r="B29" s="52" t="s">
        <v>26</v>
      </c>
      <c r="C29" s="52" t="s">
        <v>27</v>
      </c>
      <c r="D29" s="52" t="s">
        <v>48</v>
      </c>
      <c r="E29" s="52" t="s">
        <v>154</v>
      </c>
      <c r="F29" s="53" t="s">
        <v>155</v>
      </c>
      <c r="G29" s="54">
        <v>9.4</v>
      </c>
      <c r="H29" s="55" t="s">
        <v>56</v>
      </c>
      <c r="I29" s="55">
        <v>2569</v>
      </c>
      <c r="J29" s="56">
        <v>46234</v>
      </c>
      <c r="K29" s="56">
        <v>46305</v>
      </c>
      <c r="L29" s="55" t="s">
        <v>133</v>
      </c>
      <c r="M29" s="55" t="s">
        <v>35</v>
      </c>
      <c r="N29" s="55" t="s">
        <v>36</v>
      </c>
      <c r="O29" s="54">
        <v>1212600</v>
      </c>
      <c r="P29" s="54">
        <v>653112</v>
      </c>
      <c r="Q29" s="54" t="s">
        <v>787</v>
      </c>
      <c r="R29" s="30" t="s">
        <v>156</v>
      </c>
      <c r="S29" s="30" t="s">
        <v>157</v>
      </c>
      <c r="T29" s="54" t="s">
        <v>40</v>
      </c>
      <c r="U29" s="54"/>
      <c r="V29" s="54"/>
      <c r="W29" s="54"/>
      <c r="X29" s="54">
        <f>AF29</f>
        <v>10.34</v>
      </c>
      <c r="Y29" s="54"/>
      <c r="Z29" s="72" cm="1">
        <f t="array" ref="Z29">_xlfn.LET(
_xlpm.a,IF(ISNUMBER($U29),$U29,IFERROR(_xlfn.NUMBERVALUE(TRIM($U29)),0)),
_xlpm.b,IF(ISNUMBER($V29),$V29,IFERROR(_xlfn.NUMBERVALUE(TRIM($V29)),0)),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29" s="72" cm="1">
        <f t="array" ref="AA29">_xlfn.IFS($W29=0,0,AND($W29&gt;0,$W29&lt;=0.5),2,AND($W29&gt;0.5,$W29&lt;=1),3,AND($W29&gt;1,$W29&lt;=1.5),4,AND($W29&gt;1.5,$W29&lt;=2),5,AND($W29&gt;2,$W29&lt;=3),6,AND($W29&gt;3,$W29&lt;=4),7,$W29&gt;4,8)</f>
        <v>0</v>
      </c>
      <c r="AB29" s="72" cm="1">
        <f t="array" ref="AB29">_xlfn.IFS($X29=0,0,AND($X29&gt;0,$X29&lt;=0.5),2,AND($X29&gt;0.5,$X29&lt;=1),3,AND($X29&gt;1,$X29&lt;=1.5),4,AND($X29&gt;1.5,$X29&lt;=2),5,AND($X29&gt;2,$X29&lt;=3),6,AND($X29&gt;3,$X29&lt;=4),7,$X29&gt;4,8)</f>
        <v>8</v>
      </c>
      <c r="AC29" s="72" cm="1">
        <f t="array" ref="AC29">_xlfn.IFS($Y29=0,0,AND($Y29&gt;0,$Y29&lt;=0.5),2,AND($Y29&gt;0.5,$Y29&lt;=1),3,AND($Y29&gt;1,$Y29&lt;=1.5),4,AND($Y29&gt;1.5,$Y29&lt;=2),5,AND($Y29&gt;2,$Y29&lt;=3),6,AND($Y29&gt;3,$Y29&lt;=4),7,$Y29&gt;4,8)</f>
        <v>0</v>
      </c>
      <c r="AD29" s="54">
        <v>8.93</v>
      </c>
      <c r="AE29" s="54">
        <v>1.41</v>
      </c>
      <c r="AF29" s="54">
        <f t="shared" si="1"/>
        <v>10.34</v>
      </c>
      <c r="AG29" s="55">
        <v>2570</v>
      </c>
      <c r="AH29" s="54" t="s">
        <v>59</v>
      </c>
    </row>
    <row r="30" spans="1:34" x14ac:dyDescent="0.2">
      <c r="A30" s="52">
        <v>27</v>
      </c>
      <c r="B30" s="52" t="s">
        <v>26</v>
      </c>
      <c r="C30" s="52" t="s">
        <v>27</v>
      </c>
      <c r="D30" s="52" t="s">
        <v>28</v>
      </c>
      <c r="E30" s="52" t="s">
        <v>158</v>
      </c>
      <c r="F30" s="53" t="s">
        <v>159</v>
      </c>
      <c r="G30" s="54">
        <v>1.1000000000000001</v>
      </c>
      <c r="H30" s="55" t="s">
        <v>31</v>
      </c>
      <c r="I30" s="55">
        <v>2569</v>
      </c>
      <c r="J30" s="56">
        <v>46568</v>
      </c>
      <c r="K30" s="56"/>
      <c r="L30" s="55" t="s">
        <v>133</v>
      </c>
      <c r="M30" s="55" t="s">
        <v>84</v>
      </c>
      <c r="N30" s="55" t="s">
        <v>71</v>
      </c>
      <c r="O30" s="54">
        <v>33600</v>
      </c>
      <c r="P30" s="54">
        <f>9650*0.2*12</f>
        <v>23160</v>
      </c>
      <c r="Q30" s="54" t="s">
        <v>787</v>
      </c>
      <c r="R30" s="30" t="s">
        <v>160</v>
      </c>
      <c r="S30" s="30" t="s">
        <v>161</v>
      </c>
      <c r="T30" s="54" t="s">
        <v>87</v>
      </c>
      <c r="U30" s="54">
        <f>AF30</f>
        <v>1.21</v>
      </c>
      <c r="V30" s="54"/>
      <c r="W30" s="54"/>
      <c r="X30" s="54"/>
      <c r="Y30" s="54"/>
      <c r="Z30" s="72" cm="1">
        <f t="array" ref="Z30">_xlfn.LET(
_xlpm.a,IF(ISNUMBER($U30),$U30,IFERROR(_xlfn.NUMBERVALUE(TRIM($U30)),0)),
_xlpm.b,IF(ISNUMBER($V30),$V30,IFERROR(_xlfn.NUMBERVALUE(TRIM($V30)),0)),
_xlpm.score,_xlfn.LAMBDA(_xlpm.x,_xlfn.IFS(_xlpm.x&lt;0,0,_xlpm.x=0,0,_xlpm.x&lt;=0.5,2,_xlpm.x&lt;=1,3,_xlpm.x&lt;=1.5,4,
_xlpm.x&lt;=2,5,_xlpm.x&lt;=3,6,_xlpm.x&lt;=4,7,_xlpm.x&lt;=5,8,_xlpm.x&gt;5,9)),
_xlpm.score(_xlpm.a)+_xlpm.score(_xlpm.b))</f>
        <v>4</v>
      </c>
      <c r="AA30" s="72" cm="1">
        <f t="array" ref="AA30">_xlfn.IFS($W30=0,0,AND($W30&gt;0,$W30&lt;=0.5),2,AND($W30&gt;0.5,$W30&lt;=1),3,AND($W30&gt;1,$W30&lt;=1.5),4,AND($W30&gt;1.5,$W30&lt;=2),5,AND($W30&gt;2,$W30&lt;=3),6,AND($W30&gt;3,$W30&lt;=4),7,$W30&gt;4,8)</f>
        <v>0</v>
      </c>
      <c r="AB30" s="72" cm="1">
        <f t="array" ref="AB30">_xlfn.IFS($X30=0,0,AND($X30&gt;0,$X30&lt;=0.5),2,AND($X30&gt;0.5,$X30&lt;=1),3,AND($X30&gt;1,$X30&lt;=1.5),4,AND($X30&gt;1.5,$X30&lt;=2),5,AND($X30&gt;2,$X30&lt;=3),6,AND($X30&gt;3,$X30&lt;=4),7,$X30&gt;4,8)</f>
        <v>0</v>
      </c>
      <c r="AC30" s="72" cm="1">
        <f t="array" ref="AC30">_xlfn.IFS($Y30=0,0,AND($Y30&gt;0,$Y30&lt;=0.5),2,AND($Y30&gt;0.5,$Y30&lt;=1),3,AND($Y30&gt;1,$Y30&lt;=1.5),4,AND($Y30&gt;1.5,$Y30&lt;=2),5,AND($Y30&gt;2,$Y30&lt;=3),6,AND($Y30&gt;3,$Y30&lt;=4),7,$Y30&gt;4,8)</f>
        <v>0</v>
      </c>
      <c r="AD30" s="54">
        <v>1.0449999999999999</v>
      </c>
      <c r="AE30" s="54">
        <v>0.16500000000000001</v>
      </c>
      <c r="AF30" s="54">
        <f t="shared" si="1"/>
        <v>1.21</v>
      </c>
      <c r="AG30" s="55">
        <v>2571</v>
      </c>
      <c r="AH30" s="54" t="s">
        <v>66</v>
      </c>
    </row>
    <row r="31" spans="1:34" x14ac:dyDescent="0.2">
      <c r="A31" s="52">
        <v>28</v>
      </c>
      <c r="B31" s="52" t="s">
        <v>26</v>
      </c>
      <c r="C31" s="52" t="s">
        <v>27</v>
      </c>
      <c r="D31" s="52" t="s">
        <v>28</v>
      </c>
      <c r="E31" s="52" t="s">
        <v>162</v>
      </c>
      <c r="F31" s="53" t="s">
        <v>163</v>
      </c>
      <c r="G31" s="54">
        <v>5</v>
      </c>
      <c r="H31" s="55" t="s">
        <v>56</v>
      </c>
      <c r="I31" s="55">
        <v>2569</v>
      </c>
      <c r="J31" s="56">
        <v>46660</v>
      </c>
      <c r="K31" s="56"/>
      <c r="L31" s="55" t="s">
        <v>133</v>
      </c>
      <c r="M31" s="55" t="s">
        <v>35</v>
      </c>
      <c r="N31" s="55" t="s">
        <v>36</v>
      </c>
      <c r="O31" s="54">
        <v>348300</v>
      </c>
      <c r="P31" s="54">
        <v>187596</v>
      </c>
      <c r="Q31" s="54" t="s">
        <v>787</v>
      </c>
      <c r="R31" s="30" t="s">
        <v>164</v>
      </c>
      <c r="S31" s="30" t="s">
        <v>165</v>
      </c>
      <c r="T31" s="54" t="s">
        <v>53</v>
      </c>
      <c r="U31" s="54"/>
      <c r="V31" s="54"/>
      <c r="W31" s="54">
        <f>AF31</f>
        <v>5.5</v>
      </c>
      <c r="X31" s="54"/>
      <c r="Y31" s="54"/>
      <c r="Z31" s="72" cm="1">
        <f t="array" ref="Z31">_xlfn.LET(
_xlpm.a,IF(ISNUMBER($U31),$U31,IFERROR(_xlfn.NUMBERVALUE(TRIM($U31)),0)),
_xlpm.b,IF(ISNUMBER($V31),$V31,IFERROR(_xlfn.NUMBERVALUE(TRIM($V31)),0)),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31" s="72" cm="1">
        <f t="array" ref="AA31">_xlfn.IFS($W31=0,0,AND($W31&gt;0,$W31&lt;=0.5),2,AND($W31&gt;0.5,$W31&lt;=1),3,AND($W31&gt;1,$W31&lt;=1.5),4,AND($W31&gt;1.5,$W31&lt;=2),5,AND($W31&gt;2,$W31&lt;=3),6,AND($W31&gt;3,$W31&lt;=4),7,$W31&gt;4,8)</f>
        <v>8</v>
      </c>
      <c r="AB31" s="72" cm="1">
        <f t="array" ref="AB31">_xlfn.IFS($X31=0,0,AND($X31&gt;0,$X31&lt;=0.5),2,AND($X31&gt;0.5,$X31&lt;=1),3,AND($X31&gt;1,$X31&lt;=1.5),4,AND($X31&gt;1.5,$X31&lt;=2),5,AND($X31&gt;2,$X31&lt;=3),6,AND($X31&gt;3,$X31&lt;=4),7,$X31&gt;4,8)</f>
        <v>0</v>
      </c>
      <c r="AC31" s="72" cm="1">
        <f t="array" ref="AC31">_xlfn.IFS($Y31=0,0,AND($Y31&gt;0,$Y31&lt;=0.5),2,AND($Y31&gt;0.5,$Y31&lt;=1),3,AND($Y31&gt;1,$Y31&lt;=1.5),4,AND($Y31&gt;1.5,$Y31&lt;=2),5,AND($Y31&gt;2,$Y31&lt;=3),6,AND($Y31&gt;3,$Y31&lt;=4),7,$Y31&gt;4,8)</f>
        <v>0</v>
      </c>
      <c r="AD31" s="54">
        <v>4.75</v>
      </c>
      <c r="AE31" s="54">
        <v>0.75</v>
      </c>
      <c r="AF31" s="54">
        <f t="shared" si="1"/>
        <v>5.5</v>
      </c>
      <c r="AG31" s="55">
        <v>2571</v>
      </c>
      <c r="AH31" s="54" t="s">
        <v>59</v>
      </c>
    </row>
    <row r="32" spans="1:34" x14ac:dyDescent="0.2">
      <c r="A32" s="52">
        <v>29</v>
      </c>
      <c r="B32" s="52" t="s">
        <v>26</v>
      </c>
      <c r="C32" s="52" t="s">
        <v>27</v>
      </c>
      <c r="D32" s="52" t="s">
        <v>28</v>
      </c>
      <c r="E32" s="52" t="s">
        <v>166</v>
      </c>
      <c r="F32" s="53" t="s">
        <v>167</v>
      </c>
      <c r="G32" s="54">
        <v>0.4</v>
      </c>
      <c r="H32" s="55" t="s">
        <v>118</v>
      </c>
      <c r="I32" s="55">
        <v>2569</v>
      </c>
      <c r="J32" s="56">
        <v>46234</v>
      </c>
      <c r="K32" s="56">
        <v>46325</v>
      </c>
      <c r="L32" s="55" t="s">
        <v>133</v>
      </c>
      <c r="M32" s="55" t="s">
        <v>35</v>
      </c>
      <c r="N32" s="55" t="s">
        <v>36</v>
      </c>
      <c r="O32" s="54">
        <v>77400</v>
      </c>
      <c r="P32" s="54">
        <v>27792</v>
      </c>
      <c r="Q32" s="54" t="s">
        <v>787</v>
      </c>
      <c r="R32" s="30" t="s">
        <v>168</v>
      </c>
      <c r="S32" s="30" t="s">
        <v>169</v>
      </c>
      <c r="T32" s="54" t="s">
        <v>40</v>
      </c>
      <c r="U32" s="54"/>
      <c r="V32" s="54"/>
      <c r="W32" s="54"/>
      <c r="X32" s="54">
        <f>AF32</f>
        <v>0.44</v>
      </c>
      <c r="Y32" s="54"/>
      <c r="Z32" s="72" cm="1">
        <f t="array" ref="Z32">_xlfn.LET(
_xlpm.a,IF(ISNUMBER($U32),$U32,IFERROR(_xlfn.NUMBERVALUE(TRIM($U32)),0)),
_xlpm.b,IF(ISNUMBER($V32),$V32,IFERROR(_xlfn.NUMBERVALUE(TRIM($V32)),0)),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32" s="72" cm="1">
        <f t="array" ref="AA32">_xlfn.IFS($W32=0,0,AND($W32&gt;0,$W32&lt;=0.5),2,AND($W32&gt;0.5,$W32&lt;=1),3,AND($W32&gt;1,$W32&lt;=1.5),4,AND($W32&gt;1.5,$W32&lt;=2),5,AND($W32&gt;2,$W32&lt;=3),6,AND($W32&gt;3,$W32&lt;=4),7,$W32&gt;4,8)</f>
        <v>0</v>
      </c>
      <c r="AB32" s="72" cm="1">
        <f t="array" ref="AB32">_xlfn.IFS($X32=0,0,AND($X32&gt;0,$X32&lt;=0.5),2,AND($X32&gt;0.5,$X32&lt;=1),3,AND($X32&gt;1,$X32&lt;=1.5),4,AND($X32&gt;1.5,$X32&lt;=2),5,AND($X32&gt;2,$X32&lt;=3),6,AND($X32&gt;3,$X32&lt;=4),7,$X32&gt;4,8)</f>
        <v>2</v>
      </c>
      <c r="AC32" s="72" cm="1">
        <f t="array" ref="AC32">_xlfn.IFS($Y32=0,0,AND($Y32&gt;0,$Y32&lt;=0.5),2,AND($Y32&gt;0.5,$Y32&lt;=1),3,AND($Y32&gt;1,$Y32&lt;=1.5),4,AND($Y32&gt;1.5,$Y32&lt;=2),5,AND($Y32&gt;2,$Y32&lt;=3),6,AND($Y32&gt;3,$Y32&lt;=4),7,$Y32&gt;4,8)</f>
        <v>0</v>
      </c>
      <c r="AD32" s="54">
        <v>0.38</v>
      </c>
      <c r="AE32" s="54">
        <v>0.06</v>
      </c>
      <c r="AF32" s="54">
        <f t="shared" si="1"/>
        <v>0.44</v>
      </c>
      <c r="AG32" s="55">
        <v>2570</v>
      </c>
      <c r="AH32" s="54" t="s">
        <v>59</v>
      </c>
    </row>
    <row r="33" spans="1:34" x14ac:dyDescent="0.2">
      <c r="A33" s="52">
        <v>30</v>
      </c>
      <c r="B33" s="57" t="s">
        <v>26</v>
      </c>
      <c r="C33" s="57" t="s">
        <v>27</v>
      </c>
      <c r="D33" s="57" t="s">
        <v>28</v>
      </c>
      <c r="E33" s="57" t="s">
        <v>170</v>
      </c>
      <c r="F33" s="58" t="s">
        <v>171</v>
      </c>
      <c r="G33" s="59">
        <v>11.2</v>
      </c>
      <c r="H33" s="55" t="s">
        <v>118</v>
      </c>
      <c r="I33" s="60">
        <v>2569</v>
      </c>
      <c r="J33" s="61">
        <v>46142</v>
      </c>
      <c r="K33" s="61">
        <v>46325</v>
      </c>
      <c r="L33" s="60" t="s">
        <v>90</v>
      </c>
      <c r="M33" s="60" t="s">
        <v>35</v>
      </c>
      <c r="N33" s="60" t="s">
        <v>36</v>
      </c>
      <c r="O33" s="54">
        <v>1516443.56</v>
      </c>
      <c r="P33" s="54">
        <v>507342.56410256407</v>
      </c>
      <c r="Q33" s="54" t="s">
        <v>37</v>
      </c>
      <c r="R33" s="30" t="s">
        <v>169</v>
      </c>
      <c r="S33" s="30" t="s">
        <v>172</v>
      </c>
      <c r="T33" s="54" t="s">
        <v>40</v>
      </c>
      <c r="U33" s="54"/>
      <c r="V33" s="54"/>
      <c r="W33" s="54"/>
      <c r="X33" s="54">
        <f>AF33</f>
        <v>12.319999999999999</v>
      </c>
      <c r="Y33" s="54"/>
      <c r="Z33" s="72" cm="1">
        <f t="array" ref="Z33">_xlfn.LET(
_xlpm.a,IF(ISNUMBER($U33),$U33,IFERROR(_xlfn.NUMBERVALUE(TRIM($U33)),0)),
_xlpm.b,IF(ISNUMBER($V33),$V33,IFERROR(_xlfn.NUMBERVALUE(TRIM($V33)),0)),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33" s="72" cm="1">
        <f t="array" ref="AA33">_xlfn.IFS($W33=0,0,AND($W33&gt;0,$W33&lt;=0.5),2,AND($W33&gt;0.5,$W33&lt;=1),3,AND($W33&gt;1,$W33&lt;=1.5),4,AND($W33&gt;1.5,$W33&lt;=2),5,AND($W33&gt;2,$W33&lt;=3),6,AND($W33&gt;3,$W33&lt;=4),7,$W33&gt;4,8)</f>
        <v>0</v>
      </c>
      <c r="AB33" s="72" cm="1">
        <f t="array" ref="AB33">_xlfn.IFS($X33=0,0,AND($X33&gt;0,$X33&lt;=0.5),2,AND($X33&gt;0.5,$X33&lt;=1),3,AND($X33&gt;1,$X33&lt;=1.5),4,AND($X33&gt;1.5,$X33&lt;=2),5,AND($X33&gt;2,$X33&lt;=3),6,AND($X33&gt;3,$X33&lt;=4),7,$X33&gt;4,8)</f>
        <v>8</v>
      </c>
      <c r="AC33" s="72" cm="1">
        <f t="array" ref="AC33">_xlfn.IFS($Y33=0,0,AND($Y33&gt;0,$Y33&lt;=0.5),2,AND($Y33&gt;0.5,$Y33&lt;=1),3,AND($Y33&gt;1,$Y33&lt;=1.5),4,AND($Y33&gt;1.5,$Y33&lt;=2),5,AND($Y33&gt;2,$Y33&lt;=3),6,AND($Y33&gt;3,$Y33&lt;=4),7,$Y33&gt;4,8)</f>
        <v>0</v>
      </c>
      <c r="AD33" s="54">
        <v>10.639999999999999</v>
      </c>
      <c r="AE33" s="54">
        <v>1.68</v>
      </c>
      <c r="AF33" s="54">
        <f t="shared" si="1"/>
        <v>12.319999999999999</v>
      </c>
      <c r="AG33" s="55">
        <v>2569</v>
      </c>
      <c r="AH33" s="54" t="s">
        <v>66</v>
      </c>
    </row>
    <row r="34" spans="1:34" x14ac:dyDescent="0.2">
      <c r="A34" s="52">
        <v>31</v>
      </c>
      <c r="B34" s="52" t="s">
        <v>26</v>
      </c>
      <c r="C34" s="52" t="s">
        <v>122</v>
      </c>
      <c r="D34" s="52" t="s">
        <v>28</v>
      </c>
      <c r="E34" s="52" t="s">
        <v>173</v>
      </c>
      <c r="F34" s="53" t="s">
        <v>174</v>
      </c>
      <c r="G34" s="54">
        <v>8.4</v>
      </c>
      <c r="H34" s="55" t="s">
        <v>56</v>
      </c>
      <c r="I34" s="55">
        <v>2569</v>
      </c>
      <c r="J34" s="56">
        <v>46203</v>
      </c>
      <c r="K34" s="56">
        <v>46327</v>
      </c>
      <c r="L34" s="55" t="s">
        <v>133</v>
      </c>
      <c r="M34" s="55" t="s">
        <v>35</v>
      </c>
      <c r="N34" s="55" t="s">
        <v>71</v>
      </c>
      <c r="O34" s="54">
        <v>1974000</v>
      </c>
      <c r="P34" s="54">
        <v>972720</v>
      </c>
      <c r="Q34" s="54" t="s">
        <v>787</v>
      </c>
      <c r="R34" s="30" t="s">
        <v>175</v>
      </c>
      <c r="S34" s="30" t="s">
        <v>176</v>
      </c>
      <c r="T34" s="54" t="s">
        <v>40</v>
      </c>
      <c r="U34" s="54"/>
      <c r="V34" s="54"/>
      <c r="W34" s="54"/>
      <c r="X34" s="54">
        <f>AF34</f>
        <v>9.24</v>
      </c>
      <c r="Y34" s="54"/>
      <c r="Z34" s="72" cm="1">
        <f t="array" ref="Z34">_xlfn.LET(
_xlpm.a,IF(ISNUMBER($U34),$U34,IFERROR(_xlfn.NUMBERVALUE(TRIM($U34)),0)),
_xlpm.b,IF(ISNUMBER($V34),$V34,IFERROR(_xlfn.NUMBERVALUE(TRIM($V34)),0)),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34" s="72" cm="1">
        <f t="array" ref="AA34">_xlfn.IFS($W34=0,0,AND($W34&gt;0,$W34&lt;=0.5),2,AND($W34&gt;0.5,$W34&lt;=1),3,AND($W34&gt;1,$W34&lt;=1.5),4,AND($W34&gt;1.5,$W34&lt;=2),5,AND($W34&gt;2,$W34&lt;=3),6,AND($W34&gt;3,$W34&lt;=4),7,$W34&gt;4,8)</f>
        <v>0</v>
      </c>
      <c r="AB34" s="72" cm="1">
        <f t="array" ref="AB34">_xlfn.IFS($X34=0,0,AND($X34&gt;0,$X34&lt;=0.5),2,AND($X34&gt;0.5,$X34&lt;=1),3,AND($X34&gt;1,$X34&lt;=1.5),4,AND($X34&gt;1.5,$X34&lt;=2),5,AND($X34&gt;2,$X34&lt;=3),6,AND($X34&gt;3,$X34&lt;=4),7,$X34&gt;4,8)</f>
        <v>8</v>
      </c>
      <c r="AC34" s="72" cm="1">
        <f t="array" ref="AC34">_xlfn.IFS($Y34=0,0,AND($Y34&gt;0,$Y34&lt;=0.5),2,AND($Y34&gt;0.5,$Y34&lt;=1),3,AND($Y34&gt;1,$Y34&lt;=1.5),4,AND($Y34&gt;1.5,$Y34&lt;=2),5,AND($Y34&gt;2,$Y34&lt;=3),6,AND($Y34&gt;3,$Y34&lt;=4),7,$Y34&gt;4,8)</f>
        <v>0</v>
      </c>
      <c r="AD34" s="54">
        <v>7.9799999999999995</v>
      </c>
      <c r="AE34" s="54">
        <v>1.26</v>
      </c>
      <c r="AF34" s="54">
        <f t="shared" si="1"/>
        <v>9.24</v>
      </c>
      <c r="AG34" s="55">
        <v>2570</v>
      </c>
      <c r="AH34" s="54" t="s">
        <v>59</v>
      </c>
    </row>
    <row r="35" spans="1:34" x14ac:dyDescent="0.2">
      <c r="A35" s="52">
        <v>32</v>
      </c>
      <c r="B35" s="52" t="s">
        <v>26</v>
      </c>
      <c r="C35" s="52" t="s">
        <v>27</v>
      </c>
      <c r="D35" s="52" t="s">
        <v>28</v>
      </c>
      <c r="E35" s="52" t="s">
        <v>177</v>
      </c>
      <c r="F35" s="53" t="s">
        <v>178</v>
      </c>
      <c r="G35" s="54">
        <v>5.6</v>
      </c>
      <c r="H35" s="55" t="s">
        <v>44</v>
      </c>
      <c r="I35" s="55">
        <v>2569</v>
      </c>
      <c r="J35" s="56">
        <v>46234</v>
      </c>
      <c r="K35" s="56">
        <v>46342</v>
      </c>
      <c r="L35" s="55" t="s">
        <v>133</v>
      </c>
      <c r="M35" s="55" t="s">
        <v>35</v>
      </c>
      <c r="N35" s="55" t="s">
        <v>36</v>
      </c>
      <c r="O35" s="54">
        <v>538199.99999999988</v>
      </c>
      <c r="P35" s="54">
        <v>319608</v>
      </c>
      <c r="Q35" s="54" t="s">
        <v>787</v>
      </c>
      <c r="R35" s="30" t="s">
        <v>179</v>
      </c>
      <c r="S35" s="30" t="s">
        <v>180</v>
      </c>
      <c r="T35" s="54" t="s">
        <v>40</v>
      </c>
      <c r="U35" s="54"/>
      <c r="V35" s="54"/>
      <c r="W35" s="54"/>
      <c r="X35" s="54">
        <f>AF35</f>
        <v>6.1599999999999993</v>
      </c>
      <c r="Y35" s="54"/>
      <c r="Z35" s="72" cm="1">
        <f t="array" ref="Z35">_xlfn.LET(
_xlpm.a,IF(ISNUMBER($U35),$U35,IFERROR(_xlfn.NUMBERVALUE(TRIM($U35)),0)),
_xlpm.b,IF(ISNUMBER($V35),$V35,IFERROR(_xlfn.NUMBERVALUE(TRIM($V35)),0)),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35" s="72" cm="1">
        <f t="array" ref="AA35">_xlfn.IFS($W35=0,0,AND($W35&gt;0,$W35&lt;=0.5),2,AND($W35&gt;0.5,$W35&lt;=1),3,AND($W35&gt;1,$W35&lt;=1.5),4,AND($W35&gt;1.5,$W35&lt;=2),5,AND($W35&gt;2,$W35&lt;=3),6,AND($W35&gt;3,$W35&lt;=4),7,$W35&gt;4,8)</f>
        <v>0</v>
      </c>
      <c r="AB35" s="72" cm="1">
        <f t="array" ref="AB35">_xlfn.IFS($X35=0,0,AND($X35&gt;0,$X35&lt;=0.5),2,AND($X35&gt;0.5,$X35&lt;=1),3,AND($X35&gt;1,$X35&lt;=1.5),4,AND($X35&gt;1.5,$X35&lt;=2),5,AND($X35&gt;2,$X35&lt;=3),6,AND($X35&gt;3,$X35&lt;=4),7,$X35&gt;4,8)</f>
        <v>8</v>
      </c>
      <c r="AC35" s="72" cm="1">
        <f t="array" ref="AC35">_xlfn.IFS($Y35=0,0,AND($Y35&gt;0,$Y35&lt;=0.5),2,AND($Y35&gt;0.5,$Y35&lt;=1),3,AND($Y35&gt;1,$Y35&lt;=1.5),4,AND($Y35&gt;1.5,$Y35&lt;=2),5,AND($Y35&gt;2,$Y35&lt;=3),6,AND($Y35&gt;3,$Y35&lt;=4),7,$Y35&gt;4,8)</f>
        <v>0</v>
      </c>
      <c r="AD35" s="54">
        <v>5.3199999999999994</v>
      </c>
      <c r="AE35" s="54">
        <v>0.84</v>
      </c>
      <c r="AF35" s="54">
        <f t="shared" si="1"/>
        <v>6.1599999999999993</v>
      </c>
      <c r="AG35" s="55">
        <v>2570</v>
      </c>
      <c r="AH35" s="54" t="s">
        <v>41</v>
      </c>
    </row>
    <row r="36" spans="1:34" x14ac:dyDescent="0.2">
      <c r="A36" s="52">
        <v>33</v>
      </c>
      <c r="B36" s="52" t="s">
        <v>26</v>
      </c>
      <c r="C36" s="52" t="s">
        <v>27</v>
      </c>
      <c r="D36" s="52" t="s">
        <v>28</v>
      </c>
      <c r="E36" s="52" t="s">
        <v>181</v>
      </c>
      <c r="F36" s="53" t="s">
        <v>182</v>
      </c>
      <c r="G36" s="54">
        <v>6.6</v>
      </c>
      <c r="H36" s="55" t="s">
        <v>31</v>
      </c>
      <c r="I36" s="55">
        <v>2569</v>
      </c>
      <c r="J36" s="56">
        <v>46326</v>
      </c>
      <c r="K36" s="56">
        <v>46446</v>
      </c>
      <c r="L36" s="55" t="s">
        <v>133</v>
      </c>
      <c r="M36" s="55" t="s">
        <v>35</v>
      </c>
      <c r="N36" s="55" t="s">
        <v>71</v>
      </c>
      <c r="O36" s="54">
        <v>2437500</v>
      </c>
      <c r="P36" s="54">
        <v>868500</v>
      </c>
      <c r="Q36" s="54" t="s">
        <v>37</v>
      </c>
      <c r="R36" s="30" t="s">
        <v>183</v>
      </c>
      <c r="S36" s="30" t="s">
        <v>184</v>
      </c>
      <c r="T36" s="54" t="s">
        <v>185</v>
      </c>
      <c r="U36" s="54"/>
      <c r="V36" s="54"/>
      <c r="W36" s="54"/>
      <c r="X36" s="54"/>
      <c r="Y36" s="54">
        <f>AF36</f>
        <v>7.26</v>
      </c>
      <c r="Z36" s="72" cm="1">
        <f t="array" ref="Z36">_xlfn.LET(
_xlpm.a,IF(ISNUMBER($U36),$U36,IFERROR(_xlfn.NUMBERVALUE(TRIM($U36)),0)),
_xlpm.b,IF(ISNUMBER($V36),$V36,IFERROR(_xlfn.NUMBERVALUE(TRIM($V36)),0)),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36" s="72" cm="1">
        <f t="array" ref="AA36">_xlfn.IFS($W36=0,0,AND($W36&gt;0,$W36&lt;=0.5),2,AND($W36&gt;0.5,$W36&lt;=1),3,AND($W36&gt;1,$W36&lt;=1.5),4,AND($W36&gt;1.5,$W36&lt;=2),5,AND($W36&gt;2,$W36&lt;=3),6,AND($W36&gt;3,$W36&lt;=4),7,$W36&gt;4,8)</f>
        <v>0</v>
      </c>
      <c r="AB36" s="72" cm="1">
        <f t="array" ref="AB36">_xlfn.IFS($X36=0,0,AND($X36&gt;0,$X36&lt;=0.5),2,AND($X36&gt;0.5,$X36&lt;=1),3,AND($X36&gt;1,$X36&lt;=1.5),4,AND($X36&gt;1.5,$X36&lt;=2),5,AND($X36&gt;2,$X36&lt;=3),6,AND($X36&gt;3,$X36&lt;=4),7,$X36&gt;4,8)</f>
        <v>0</v>
      </c>
      <c r="AC36" s="72" cm="1">
        <f t="array" ref="AC36">_xlfn.IFS($Y36=0,0,AND($Y36&gt;0,$Y36&lt;=0.5),2,AND($Y36&gt;0.5,$Y36&lt;=1),3,AND($Y36&gt;1,$Y36&lt;=1.5),4,AND($Y36&gt;1.5,$Y36&lt;=2),5,AND($Y36&gt;2,$Y36&lt;=3),6,AND($Y36&gt;3,$Y36&lt;=4),7,$Y36&gt;4,8)</f>
        <v>8</v>
      </c>
      <c r="AD36" s="54">
        <v>6.27</v>
      </c>
      <c r="AE36" s="54">
        <v>0.98999999999999988</v>
      </c>
      <c r="AF36" s="54">
        <f t="shared" ref="AF36:AF67" si="2">AD36+AE36</f>
        <v>7.26</v>
      </c>
      <c r="AG36" s="55">
        <v>2569</v>
      </c>
      <c r="AH36" s="54" t="s">
        <v>41</v>
      </c>
    </row>
    <row r="37" spans="1:34" x14ac:dyDescent="0.2">
      <c r="A37" s="52">
        <v>34</v>
      </c>
      <c r="B37" s="52" t="s">
        <v>26</v>
      </c>
      <c r="C37" s="52" t="s">
        <v>27</v>
      </c>
      <c r="D37" s="52" t="s">
        <v>48</v>
      </c>
      <c r="E37" s="52" t="s">
        <v>186</v>
      </c>
      <c r="F37" s="53" t="s">
        <v>187</v>
      </c>
      <c r="G37" s="54">
        <v>2.2000000000000002</v>
      </c>
      <c r="H37" s="55" t="s">
        <v>31</v>
      </c>
      <c r="I37" s="55">
        <v>2569</v>
      </c>
      <c r="J37" s="56">
        <v>46203</v>
      </c>
      <c r="K37" s="56">
        <v>46345</v>
      </c>
      <c r="L37" s="55" t="s">
        <v>133</v>
      </c>
      <c r="M37" s="55" t="s">
        <v>35</v>
      </c>
      <c r="N37" s="55" t="s">
        <v>36</v>
      </c>
      <c r="O37" s="54">
        <v>28800</v>
      </c>
      <c r="P37" s="54">
        <v>11580</v>
      </c>
      <c r="Q37" s="54" t="s">
        <v>787</v>
      </c>
      <c r="R37" s="30" t="s">
        <v>188</v>
      </c>
      <c r="S37" s="30" t="s">
        <v>189</v>
      </c>
      <c r="T37" s="54" t="s">
        <v>53</v>
      </c>
      <c r="U37" s="54"/>
      <c r="V37" s="54"/>
      <c r="W37" s="54">
        <f>AF37</f>
        <v>2.42</v>
      </c>
      <c r="X37" s="54"/>
      <c r="Y37" s="54"/>
      <c r="Z37" s="72" cm="1">
        <f t="array" ref="Z37">_xlfn.LET(
_xlpm.a,IF(ISNUMBER($U37),$U37,IFERROR(_xlfn.NUMBERVALUE(TRIM($U37)),0)),
_xlpm.b,IF(ISNUMBER($V37),$V37,IFERROR(_xlfn.NUMBERVALUE(TRIM($V37)),0)),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37" s="72" cm="1">
        <f t="array" ref="AA37">_xlfn.IFS($W37=0,0,AND($W37&gt;0,$W37&lt;=0.5),2,AND($W37&gt;0.5,$W37&lt;=1),3,AND($W37&gt;1,$W37&lt;=1.5),4,AND($W37&gt;1.5,$W37&lt;=2),5,AND($W37&gt;2,$W37&lt;=3),6,AND($W37&gt;3,$W37&lt;=4),7,$W37&gt;4,8)</f>
        <v>6</v>
      </c>
      <c r="AB37" s="72" cm="1">
        <f t="array" ref="AB37">_xlfn.IFS($X37=0,0,AND($X37&gt;0,$X37&lt;=0.5),2,AND($X37&gt;0.5,$X37&lt;=1),3,AND($X37&gt;1,$X37&lt;=1.5),4,AND($X37&gt;1.5,$X37&lt;=2),5,AND($X37&gt;2,$X37&lt;=3),6,AND($X37&gt;3,$X37&lt;=4),7,$X37&gt;4,8)</f>
        <v>0</v>
      </c>
      <c r="AC37" s="72" cm="1">
        <f t="array" ref="AC37">_xlfn.IFS($Y37=0,0,AND($Y37&gt;0,$Y37&lt;=0.5),2,AND($Y37&gt;0.5,$Y37&lt;=1),3,AND($Y37&gt;1,$Y37&lt;=1.5),4,AND($Y37&gt;1.5,$Y37&lt;=2),5,AND($Y37&gt;2,$Y37&lt;=3),6,AND($Y37&gt;3,$Y37&lt;=4),7,$Y37&gt;4,8)</f>
        <v>0</v>
      </c>
      <c r="AD37" s="54">
        <v>2.09</v>
      </c>
      <c r="AE37" s="54">
        <v>0.33</v>
      </c>
      <c r="AF37" s="54">
        <f t="shared" si="2"/>
        <v>2.42</v>
      </c>
      <c r="AG37" s="55">
        <v>2570</v>
      </c>
      <c r="AH37" s="54" t="s">
        <v>41</v>
      </c>
    </row>
    <row r="38" spans="1:34" x14ac:dyDescent="0.2">
      <c r="A38" s="52">
        <v>35</v>
      </c>
      <c r="B38" s="52" t="s">
        <v>26</v>
      </c>
      <c r="C38" s="52" t="s">
        <v>27</v>
      </c>
      <c r="D38" s="52" t="s">
        <v>48</v>
      </c>
      <c r="E38" s="52" t="s">
        <v>190</v>
      </c>
      <c r="F38" s="53" t="s">
        <v>191</v>
      </c>
      <c r="G38" s="54">
        <v>3.8</v>
      </c>
      <c r="H38" s="55" t="s">
        <v>56</v>
      </c>
      <c r="I38" s="55">
        <v>2569</v>
      </c>
      <c r="J38" s="56">
        <v>46234</v>
      </c>
      <c r="K38" s="56">
        <v>46349</v>
      </c>
      <c r="L38" s="55" t="s">
        <v>133</v>
      </c>
      <c r="M38" s="55" t="s">
        <v>35</v>
      </c>
      <c r="N38" s="55" t="s">
        <v>36</v>
      </c>
      <c r="O38" s="54">
        <v>490200</v>
      </c>
      <c r="P38" s="54">
        <v>264024</v>
      </c>
      <c r="Q38" s="54" t="s">
        <v>787</v>
      </c>
      <c r="R38" s="30" t="s">
        <v>192</v>
      </c>
      <c r="S38" s="30" t="s">
        <v>193</v>
      </c>
      <c r="T38" s="54" t="s">
        <v>40</v>
      </c>
      <c r="U38" s="54"/>
      <c r="V38" s="54"/>
      <c r="W38" s="54"/>
      <c r="X38" s="54">
        <f>AF38</f>
        <v>4.18</v>
      </c>
      <c r="Y38" s="54"/>
      <c r="Z38" s="72" cm="1">
        <f t="array" ref="Z38">_xlfn.LET(
_xlpm.a,IF(ISNUMBER($U38),$U38,IFERROR(_xlfn.NUMBERVALUE(TRIM($U38)),0)),
_xlpm.b,IF(ISNUMBER($V38),$V38,IFERROR(_xlfn.NUMBERVALUE(TRIM($V38)),0)),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38" s="72" cm="1">
        <f t="array" ref="AA38">_xlfn.IFS($W38=0,0,AND($W38&gt;0,$W38&lt;=0.5),2,AND($W38&gt;0.5,$W38&lt;=1),3,AND($W38&gt;1,$W38&lt;=1.5),4,AND($W38&gt;1.5,$W38&lt;=2),5,AND($W38&gt;2,$W38&lt;=3),6,AND($W38&gt;3,$W38&lt;=4),7,$W38&gt;4,8)</f>
        <v>0</v>
      </c>
      <c r="AB38" s="72" cm="1">
        <f t="array" ref="AB38">_xlfn.IFS($X38=0,0,AND($X38&gt;0,$X38&lt;=0.5),2,AND($X38&gt;0.5,$X38&lt;=1),3,AND($X38&gt;1,$X38&lt;=1.5),4,AND($X38&gt;1.5,$X38&lt;=2),5,AND($X38&gt;2,$X38&lt;=3),6,AND($X38&gt;3,$X38&lt;=4),7,$X38&gt;4,8)</f>
        <v>8</v>
      </c>
      <c r="AC38" s="72" cm="1">
        <f t="array" ref="AC38">_xlfn.IFS($Y38=0,0,AND($Y38&gt;0,$Y38&lt;=0.5),2,AND($Y38&gt;0.5,$Y38&lt;=1),3,AND($Y38&gt;1,$Y38&lt;=1.5),4,AND($Y38&gt;1.5,$Y38&lt;=2),5,AND($Y38&gt;2,$Y38&lt;=3),6,AND($Y38&gt;3,$Y38&lt;=4),7,$Y38&gt;4,8)</f>
        <v>0</v>
      </c>
      <c r="AD38" s="54">
        <v>3.61</v>
      </c>
      <c r="AE38" s="54">
        <v>0.56999999999999995</v>
      </c>
      <c r="AF38" s="54">
        <f t="shared" si="2"/>
        <v>4.18</v>
      </c>
      <c r="AG38" s="55">
        <v>2570</v>
      </c>
      <c r="AH38" s="54" t="s">
        <v>41</v>
      </c>
    </row>
    <row r="39" spans="1:34" x14ac:dyDescent="0.2">
      <c r="A39" s="52">
        <v>36</v>
      </c>
      <c r="B39" s="52" t="s">
        <v>26</v>
      </c>
      <c r="C39" s="52" t="s">
        <v>27</v>
      </c>
      <c r="D39" s="52" t="s">
        <v>48</v>
      </c>
      <c r="E39" s="52" t="s">
        <v>194</v>
      </c>
      <c r="F39" s="53" t="s">
        <v>195</v>
      </c>
      <c r="G39" s="54">
        <v>4</v>
      </c>
      <c r="H39" s="55" t="s">
        <v>56</v>
      </c>
      <c r="I39" s="55">
        <v>2569</v>
      </c>
      <c r="J39" s="56">
        <v>46234</v>
      </c>
      <c r="K39" s="56">
        <v>46350</v>
      </c>
      <c r="L39" s="55" t="s">
        <v>133</v>
      </c>
      <c r="M39" s="55" t="s">
        <v>35</v>
      </c>
      <c r="N39" s="55" t="s">
        <v>36</v>
      </c>
      <c r="O39" s="54">
        <v>516000</v>
      </c>
      <c r="P39" s="54">
        <v>277920</v>
      </c>
      <c r="Q39" s="54" t="s">
        <v>787</v>
      </c>
      <c r="R39" s="30" t="s">
        <v>193</v>
      </c>
      <c r="S39" s="30" t="s">
        <v>196</v>
      </c>
      <c r="T39" s="54" t="s">
        <v>40</v>
      </c>
      <c r="U39" s="54"/>
      <c r="V39" s="54"/>
      <c r="W39" s="54"/>
      <c r="X39" s="54">
        <f>AF39</f>
        <v>4.3999999999999995</v>
      </c>
      <c r="Y39" s="54"/>
      <c r="Z39" s="72" cm="1">
        <f t="array" ref="Z39">_xlfn.LET(
_xlpm.a,IF(ISNUMBER($U39),$U39,IFERROR(_xlfn.NUMBERVALUE(TRIM($U39)),0)),
_xlpm.b,IF(ISNUMBER($V39),$V39,IFERROR(_xlfn.NUMBERVALUE(TRIM($V39)),0)),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39" s="72" cm="1">
        <f t="array" ref="AA39">_xlfn.IFS($W39=0,0,AND($W39&gt;0,$W39&lt;=0.5),2,AND($W39&gt;0.5,$W39&lt;=1),3,AND($W39&gt;1,$W39&lt;=1.5),4,AND($W39&gt;1.5,$W39&lt;=2),5,AND($W39&gt;2,$W39&lt;=3),6,AND($W39&gt;3,$W39&lt;=4),7,$W39&gt;4,8)</f>
        <v>0</v>
      </c>
      <c r="AB39" s="72" cm="1">
        <f t="array" ref="AB39">_xlfn.IFS($X39=0,0,AND($X39&gt;0,$X39&lt;=0.5),2,AND($X39&gt;0.5,$X39&lt;=1),3,AND($X39&gt;1,$X39&lt;=1.5),4,AND($X39&gt;1.5,$X39&lt;=2),5,AND($X39&gt;2,$X39&lt;=3),6,AND($X39&gt;3,$X39&lt;=4),7,$X39&gt;4,8)</f>
        <v>8</v>
      </c>
      <c r="AC39" s="72" cm="1">
        <f t="array" ref="AC39">_xlfn.IFS($Y39=0,0,AND($Y39&gt;0,$Y39&lt;=0.5),2,AND($Y39&gt;0.5,$Y39&lt;=1),3,AND($Y39&gt;1,$Y39&lt;=1.5),4,AND($Y39&gt;1.5,$Y39&lt;=2),5,AND($Y39&gt;2,$Y39&lt;=3),6,AND($Y39&gt;3,$Y39&lt;=4),7,$Y39&gt;4,8)</f>
        <v>0</v>
      </c>
      <c r="AD39" s="54">
        <v>3.8</v>
      </c>
      <c r="AE39" s="54">
        <v>0.6</v>
      </c>
      <c r="AF39" s="54">
        <f t="shared" si="2"/>
        <v>4.3999999999999995</v>
      </c>
      <c r="AG39" s="55">
        <v>2570</v>
      </c>
      <c r="AH39" s="54" t="s">
        <v>41</v>
      </c>
    </row>
    <row r="40" spans="1:34" x14ac:dyDescent="0.2">
      <c r="A40" s="52">
        <v>37</v>
      </c>
      <c r="B40" s="52" t="s">
        <v>26</v>
      </c>
      <c r="C40" s="52" t="s">
        <v>122</v>
      </c>
      <c r="D40" s="52" t="s">
        <v>28</v>
      </c>
      <c r="E40" s="52" t="s">
        <v>197</v>
      </c>
      <c r="F40" s="53" t="s">
        <v>198</v>
      </c>
      <c r="G40" s="54">
        <v>7.6</v>
      </c>
      <c r="H40" s="55" t="s">
        <v>56</v>
      </c>
      <c r="I40" s="55">
        <v>2569</v>
      </c>
      <c r="J40" s="56">
        <v>46234</v>
      </c>
      <c r="K40" s="56">
        <v>46326</v>
      </c>
      <c r="L40" s="55" t="s">
        <v>133</v>
      </c>
      <c r="M40" s="55" t="s">
        <v>35</v>
      </c>
      <c r="N40" s="55" t="s">
        <v>36</v>
      </c>
      <c r="O40" s="54">
        <v>774000</v>
      </c>
      <c r="P40" s="54">
        <v>416880</v>
      </c>
      <c r="Q40" s="54" t="s">
        <v>787</v>
      </c>
      <c r="R40" s="30" t="s">
        <v>199</v>
      </c>
      <c r="S40" s="30" t="s">
        <v>200</v>
      </c>
      <c r="T40" s="54" t="s">
        <v>40</v>
      </c>
      <c r="U40" s="54"/>
      <c r="V40" s="54"/>
      <c r="W40" s="54"/>
      <c r="X40" s="54">
        <f>AF40</f>
        <v>8.36</v>
      </c>
      <c r="Y40" s="54"/>
      <c r="Z40" s="72" cm="1">
        <f t="array" ref="Z40">_xlfn.LET(
_xlpm.a,IF(ISNUMBER($U40),$U40,IFERROR(_xlfn.NUMBERVALUE(TRIM($U40)),0)),
_xlpm.b,IF(ISNUMBER($V40),$V40,IFERROR(_xlfn.NUMBERVALUE(TRIM($V40)),0)),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40" s="72" cm="1">
        <f t="array" ref="AA40">_xlfn.IFS($W40=0,0,AND($W40&gt;0,$W40&lt;=0.5),2,AND($W40&gt;0.5,$W40&lt;=1),3,AND($W40&gt;1,$W40&lt;=1.5),4,AND($W40&gt;1.5,$W40&lt;=2),5,AND($W40&gt;2,$W40&lt;=3),6,AND($W40&gt;3,$W40&lt;=4),7,$W40&gt;4,8)</f>
        <v>0</v>
      </c>
      <c r="AB40" s="72" cm="1">
        <f t="array" ref="AB40">_xlfn.IFS($X40=0,0,AND($X40&gt;0,$X40&lt;=0.5),2,AND($X40&gt;0.5,$X40&lt;=1),3,AND($X40&gt;1,$X40&lt;=1.5),4,AND($X40&gt;1.5,$X40&lt;=2),5,AND($X40&gt;2,$X40&lt;=3),6,AND($X40&gt;3,$X40&lt;=4),7,$X40&gt;4,8)</f>
        <v>8</v>
      </c>
      <c r="AC40" s="72" cm="1">
        <f t="array" ref="AC40">_xlfn.IFS($Y40=0,0,AND($Y40&gt;0,$Y40&lt;=0.5),2,AND($Y40&gt;0.5,$Y40&lt;=1),3,AND($Y40&gt;1,$Y40&lt;=1.5),4,AND($Y40&gt;1.5,$Y40&lt;=2),5,AND($Y40&gt;2,$Y40&lt;=3),6,AND($Y40&gt;3,$Y40&lt;=4),7,$Y40&gt;4,8)</f>
        <v>0</v>
      </c>
      <c r="AD40" s="54">
        <v>7.22</v>
      </c>
      <c r="AE40" s="54">
        <v>1.1399999999999999</v>
      </c>
      <c r="AF40" s="54">
        <f t="shared" si="2"/>
        <v>8.36</v>
      </c>
      <c r="AG40" s="55">
        <v>2570</v>
      </c>
      <c r="AH40" s="54" t="s">
        <v>59</v>
      </c>
    </row>
    <row r="41" spans="1:34" x14ac:dyDescent="0.2">
      <c r="A41" s="52">
        <v>38</v>
      </c>
      <c r="B41" s="52" t="s">
        <v>26</v>
      </c>
      <c r="C41" s="52" t="s">
        <v>27</v>
      </c>
      <c r="D41" s="52" t="s">
        <v>28</v>
      </c>
      <c r="E41" s="52" t="s">
        <v>201</v>
      </c>
      <c r="F41" s="53" t="s">
        <v>202</v>
      </c>
      <c r="G41" s="54">
        <v>7.6</v>
      </c>
      <c r="H41" s="55" t="s">
        <v>56</v>
      </c>
      <c r="I41" s="55">
        <v>2569</v>
      </c>
      <c r="J41" s="56">
        <v>46387</v>
      </c>
      <c r="K41" s="56">
        <v>46350</v>
      </c>
      <c r="L41" s="55" t="s">
        <v>133</v>
      </c>
      <c r="M41" s="55" t="s">
        <v>134</v>
      </c>
      <c r="N41" s="55" t="s">
        <v>36</v>
      </c>
      <c r="O41" s="54">
        <v>516000</v>
      </c>
      <c r="P41" s="54">
        <v>277920</v>
      </c>
      <c r="Q41" s="54" t="s">
        <v>787</v>
      </c>
      <c r="R41" s="30" t="s">
        <v>203</v>
      </c>
      <c r="S41" s="30" t="s">
        <v>204</v>
      </c>
      <c r="T41" s="54" t="s">
        <v>53</v>
      </c>
      <c r="U41" s="54"/>
      <c r="V41" s="54"/>
      <c r="W41" s="54">
        <f>AF41</f>
        <v>8.36</v>
      </c>
      <c r="X41" s="54"/>
      <c r="Y41" s="54"/>
      <c r="Z41" s="72" cm="1">
        <f t="array" ref="Z41">_xlfn.LET(
_xlpm.a,IF(ISNUMBER($U41),$U41,IFERROR(_xlfn.NUMBERVALUE(TRIM($U41)),0)),
_xlpm.b,IF(ISNUMBER($V41),$V41,IFERROR(_xlfn.NUMBERVALUE(TRIM($V41)),0)),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41" s="72" cm="1">
        <f t="array" ref="AA41">_xlfn.IFS($W41=0,0,AND($W41&gt;0,$W41&lt;=0.5),2,AND($W41&gt;0.5,$W41&lt;=1),3,AND($W41&gt;1,$W41&lt;=1.5),4,AND($W41&gt;1.5,$W41&lt;=2),5,AND($W41&gt;2,$W41&lt;=3),6,AND($W41&gt;3,$W41&lt;=4),7,$W41&gt;4,8)</f>
        <v>8</v>
      </c>
      <c r="AB41" s="72" cm="1">
        <f t="array" ref="AB41">_xlfn.IFS($X41=0,0,AND($X41&gt;0,$X41&lt;=0.5),2,AND($X41&gt;0.5,$X41&lt;=1),3,AND($X41&gt;1,$X41&lt;=1.5),4,AND($X41&gt;1.5,$X41&lt;=2),5,AND($X41&gt;2,$X41&lt;=3),6,AND($X41&gt;3,$X41&lt;=4),7,$X41&gt;4,8)</f>
        <v>0</v>
      </c>
      <c r="AC41" s="72" cm="1">
        <f t="array" ref="AC41">_xlfn.IFS($Y41=0,0,AND($Y41&gt;0,$Y41&lt;=0.5),2,AND($Y41&gt;0.5,$Y41&lt;=1),3,AND($Y41&gt;1,$Y41&lt;=1.5),4,AND($Y41&gt;1.5,$Y41&lt;=2),5,AND($Y41&gt;2,$Y41&lt;=3),6,AND($Y41&gt;3,$Y41&lt;=4),7,$Y41&gt;4,8)</f>
        <v>0</v>
      </c>
      <c r="AD41" s="54">
        <v>7.22</v>
      </c>
      <c r="AE41" s="54">
        <v>1.1399999999999999</v>
      </c>
      <c r="AF41" s="54">
        <f t="shared" si="2"/>
        <v>8.36</v>
      </c>
      <c r="AG41" s="55">
        <v>2570</v>
      </c>
      <c r="AH41" s="54" t="s">
        <v>59</v>
      </c>
    </row>
    <row r="42" spans="1:34" x14ac:dyDescent="0.2">
      <c r="A42" s="52">
        <v>39</v>
      </c>
      <c r="B42" s="52" t="s">
        <v>26</v>
      </c>
      <c r="C42" s="52" t="s">
        <v>27</v>
      </c>
      <c r="D42" s="52" t="s">
        <v>28</v>
      </c>
      <c r="E42" s="52" t="s">
        <v>205</v>
      </c>
      <c r="F42" s="53" t="s">
        <v>206</v>
      </c>
      <c r="G42" s="54">
        <v>9.6</v>
      </c>
      <c r="H42" s="55" t="s">
        <v>56</v>
      </c>
      <c r="I42" s="55">
        <v>2569</v>
      </c>
      <c r="J42" s="56">
        <v>46234</v>
      </c>
      <c r="K42" s="56">
        <v>46356</v>
      </c>
      <c r="L42" s="55" t="s">
        <v>133</v>
      </c>
      <c r="M42" s="55" t="s">
        <v>35</v>
      </c>
      <c r="N42" s="55" t="s">
        <v>36</v>
      </c>
      <c r="O42" s="54">
        <v>1749000</v>
      </c>
      <c r="P42" s="54">
        <v>736488</v>
      </c>
      <c r="Q42" s="54" t="s">
        <v>787</v>
      </c>
      <c r="R42" s="30" t="s">
        <v>207</v>
      </c>
      <c r="S42" s="30" t="s">
        <v>208</v>
      </c>
      <c r="T42" s="54" t="s">
        <v>40</v>
      </c>
      <c r="U42" s="54"/>
      <c r="V42" s="54"/>
      <c r="W42" s="54"/>
      <c r="X42" s="54">
        <f>AF42</f>
        <v>10.559999999999999</v>
      </c>
      <c r="Y42" s="54"/>
      <c r="Z42" s="72" cm="1">
        <f t="array" ref="Z42">_xlfn.LET(
_xlpm.a,IF(ISNUMBER($U42),$U42,IFERROR(_xlfn.NUMBERVALUE(TRIM($U42)),0)),
_xlpm.b,IF(ISNUMBER($V42),$V42,IFERROR(_xlfn.NUMBERVALUE(TRIM($V42)),0)),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42" s="72" cm="1">
        <f t="array" ref="AA42">_xlfn.IFS($W42=0,0,AND($W42&gt;0,$W42&lt;=0.5),2,AND($W42&gt;0.5,$W42&lt;=1),3,AND($W42&gt;1,$W42&lt;=1.5),4,AND($W42&gt;1.5,$W42&lt;=2),5,AND($W42&gt;2,$W42&lt;=3),6,AND($W42&gt;3,$W42&lt;=4),7,$W42&gt;4,8)</f>
        <v>0</v>
      </c>
      <c r="AB42" s="72" cm="1">
        <f t="array" ref="AB42">_xlfn.IFS($X42=0,0,AND($X42&gt;0,$X42&lt;=0.5),2,AND($X42&gt;0.5,$X42&lt;=1),3,AND($X42&gt;1,$X42&lt;=1.5),4,AND($X42&gt;1.5,$X42&lt;=2),5,AND($X42&gt;2,$X42&lt;=3),6,AND($X42&gt;3,$X42&lt;=4),7,$X42&gt;4,8)</f>
        <v>8</v>
      </c>
      <c r="AC42" s="72" cm="1">
        <f t="array" ref="AC42">_xlfn.IFS($Y42=0,0,AND($Y42&gt;0,$Y42&lt;=0.5),2,AND($Y42&gt;0.5,$Y42&lt;=1),3,AND($Y42&gt;1,$Y42&lt;=1.5),4,AND($Y42&gt;1.5,$Y42&lt;=2),5,AND($Y42&gt;2,$Y42&lt;=3),6,AND($Y42&gt;3,$Y42&lt;=4),7,$Y42&gt;4,8)</f>
        <v>0</v>
      </c>
      <c r="AD42" s="54">
        <v>9.1199999999999992</v>
      </c>
      <c r="AE42" s="54">
        <v>1.44</v>
      </c>
      <c r="AF42" s="54">
        <f t="shared" si="2"/>
        <v>10.559999999999999</v>
      </c>
      <c r="AG42" s="55">
        <v>2570</v>
      </c>
      <c r="AH42" s="54" t="s">
        <v>41</v>
      </c>
    </row>
    <row r="43" spans="1:34" x14ac:dyDescent="0.2">
      <c r="A43" s="52">
        <v>40</v>
      </c>
      <c r="B43" s="52" t="s">
        <v>26</v>
      </c>
      <c r="C43" s="52" t="s">
        <v>27</v>
      </c>
      <c r="D43" s="52" t="s">
        <v>28</v>
      </c>
      <c r="E43" s="52" t="s">
        <v>209</v>
      </c>
      <c r="F43" s="53" t="s">
        <v>210</v>
      </c>
      <c r="G43" s="54">
        <v>11.2</v>
      </c>
      <c r="H43" s="55" t="s">
        <v>31</v>
      </c>
      <c r="I43" s="55">
        <v>2569</v>
      </c>
      <c r="J43" s="56">
        <v>46234</v>
      </c>
      <c r="K43" s="56">
        <v>46356</v>
      </c>
      <c r="L43" s="55" t="s">
        <v>133</v>
      </c>
      <c r="M43" s="55" t="s">
        <v>35</v>
      </c>
      <c r="N43" s="55" t="s">
        <v>36</v>
      </c>
      <c r="O43" s="54">
        <v>1912500</v>
      </c>
      <c r="P43" s="54">
        <v>868500</v>
      </c>
      <c r="Q43" s="54" t="s">
        <v>787</v>
      </c>
      <c r="R43" s="30" t="s">
        <v>211</v>
      </c>
      <c r="S43" s="30" t="s">
        <v>212</v>
      </c>
      <c r="T43" s="54" t="s">
        <v>40</v>
      </c>
      <c r="U43" s="54"/>
      <c r="V43" s="54"/>
      <c r="W43" s="54"/>
      <c r="X43" s="54">
        <f>AF43</f>
        <v>12.319999999999999</v>
      </c>
      <c r="Y43" s="54"/>
      <c r="Z43" s="72" cm="1">
        <f t="array" ref="Z43">_xlfn.LET(
_xlpm.a,IF(ISNUMBER($U43),$U43,IFERROR(_xlfn.NUMBERVALUE(TRIM($U43)),0)),
_xlpm.b,IF(ISNUMBER($V43),$V43,IFERROR(_xlfn.NUMBERVALUE(TRIM($V43)),0)),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43" s="72" cm="1">
        <f t="array" ref="AA43">_xlfn.IFS($W43=0,0,AND($W43&gt;0,$W43&lt;=0.5),2,AND($W43&gt;0.5,$W43&lt;=1),3,AND($W43&gt;1,$W43&lt;=1.5),4,AND($W43&gt;1.5,$W43&lt;=2),5,AND($W43&gt;2,$W43&lt;=3),6,AND($W43&gt;3,$W43&lt;=4),7,$W43&gt;4,8)</f>
        <v>0</v>
      </c>
      <c r="AB43" s="72" cm="1">
        <f t="array" ref="AB43">_xlfn.IFS($X43=0,0,AND($X43&gt;0,$X43&lt;=0.5),2,AND($X43&gt;0.5,$X43&lt;=1),3,AND($X43&gt;1,$X43&lt;=1.5),4,AND($X43&gt;1.5,$X43&lt;=2),5,AND($X43&gt;2,$X43&lt;=3),6,AND($X43&gt;3,$X43&lt;=4),7,$X43&gt;4,8)</f>
        <v>8</v>
      </c>
      <c r="AC43" s="72" cm="1">
        <f t="array" ref="AC43">_xlfn.IFS($Y43=0,0,AND($Y43&gt;0,$Y43&lt;=0.5),2,AND($Y43&gt;0.5,$Y43&lt;=1),3,AND($Y43&gt;1,$Y43&lt;=1.5),4,AND($Y43&gt;1.5,$Y43&lt;=2),5,AND($Y43&gt;2,$Y43&lt;=3),6,AND($Y43&gt;3,$Y43&lt;=4),7,$Y43&gt;4,8)</f>
        <v>0</v>
      </c>
      <c r="AD43" s="54">
        <v>10.639999999999999</v>
      </c>
      <c r="AE43" s="54">
        <v>1.68</v>
      </c>
      <c r="AF43" s="54">
        <f t="shared" si="2"/>
        <v>12.319999999999999</v>
      </c>
      <c r="AG43" s="55">
        <v>2570</v>
      </c>
      <c r="AH43" s="54" t="s">
        <v>66</v>
      </c>
    </row>
    <row r="44" spans="1:34" x14ac:dyDescent="0.2">
      <c r="A44" s="52">
        <v>41</v>
      </c>
      <c r="B44" s="57" t="s">
        <v>26</v>
      </c>
      <c r="C44" s="57" t="s">
        <v>213</v>
      </c>
      <c r="D44" s="57" t="s">
        <v>28</v>
      </c>
      <c r="E44" s="57" t="s">
        <v>214</v>
      </c>
      <c r="F44" s="58" t="s">
        <v>215</v>
      </c>
      <c r="G44" s="59">
        <v>8</v>
      </c>
      <c r="H44" s="55" t="s">
        <v>118</v>
      </c>
      <c r="I44" s="60">
        <v>2569</v>
      </c>
      <c r="J44" s="61">
        <v>46295</v>
      </c>
      <c r="K44" s="61">
        <v>46357</v>
      </c>
      <c r="L44" s="60" t="s">
        <v>90</v>
      </c>
      <c r="M44" s="60" t="s">
        <v>35</v>
      </c>
      <c r="N44" s="60" t="s">
        <v>36</v>
      </c>
      <c r="O44" s="54">
        <v>1518000</v>
      </c>
      <c r="P44" s="54">
        <v>337750</v>
      </c>
      <c r="Q44" s="54" t="s">
        <v>37</v>
      </c>
      <c r="R44" s="30" t="s">
        <v>216</v>
      </c>
      <c r="S44" s="30" t="s">
        <v>217</v>
      </c>
      <c r="T44" s="54" t="s">
        <v>53</v>
      </c>
      <c r="U44" s="54"/>
      <c r="V44" s="54"/>
      <c r="W44" s="54">
        <f>AF44</f>
        <v>8.7999999999999989</v>
      </c>
      <c r="X44" s="54"/>
      <c r="Y44" s="54"/>
      <c r="Z44" s="72" cm="1">
        <f t="array" ref="Z44">_xlfn.LET(
_xlpm.a,IF(ISNUMBER($U44),$U44,IFERROR(_xlfn.NUMBERVALUE(TRIM($U44)),0)),
_xlpm.b,IF(ISNUMBER($V44),$V44,IFERROR(_xlfn.NUMBERVALUE(TRIM($V44)),0)),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44" s="72" cm="1">
        <f t="array" ref="AA44">_xlfn.IFS($W44=0,0,AND($W44&gt;0,$W44&lt;=0.5),2,AND($W44&gt;0.5,$W44&lt;=1),3,AND($W44&gt;1,$W44&lt;=1.5),4,AND($W44&gt;1.5,$W44&lt;=2),5,AND($W44&gt;2,$W44&lt;=3),6,AND($W44&gt;3,$W44&lt;=4),7,$W44&gt;4,8)</f>
        <v>8</v>
      </c>
      <c r="AB44" s="72" cm="1">
        <f t="array" ref="AB44">_xlfn.IFS($X44=0,0,AND($X44&gt;0,$X44&lt;=0.5),2,AND($X44&gt;0.5,$X44&lt;=1),3,AND($X44&gt;1,$X44&lt;=1.5),4,AND($X44&gt;1.5,$X44&lt;=2),5,AND($X44&gt;2,$X44&lt;=3),6,AND($X44&gt;3,$X44&lt;=4),7,$X44&gt;4,8)</f>
        <v>0</v>
      </c>
      <c r="AC44" s="72" cm="1">
        <f t="array" ref="AC44">_xlfn.IFS($Y44=0,0,AND($Y44&gt;0,$Y44&lt;=0.5),2,AND($Y44&gt;0.5,$Y44&lt;=1),3,AND($Y44&gt;1,$Y44&lt;=1.5),4,AND($Y44&gt;1.5,$Y44&lt;=2),5,AND($Y44&gt;2,$Y44&lt;=3),6,AND($Y44&gt;3,$Y44&lt;=4),7,$Y44&gt;4,8)</f>
        <v>0</v>
      </c>
      <c r="AD44" s="54">
        <v>7.6</v>
      </c>
      <c r="AE44" s="54">
        <v>1.2</v>
      </c>
      <c r="AF44" s="54">
        <f t="shared" si="2"/>
        <v>8.7999999999999989</v>
      </c>
      <c r="AG44" s="55">
        <v>2568</v>
      </c>
      <c r="AH44" s="54" t="s">
        <v>47</v>
      </c>
    </row>
    <row r="45" spans="1:34" x14ac:dyDescent="0.2">
      <c r="A45" s="52">
        <v>42</v>
      </c>
      <c r="B45" s="52" t="s">
        <v>26</v>
      </c>
      <c r="C45" s="52" t="s">
        <v>27</v>
      </c>
      <c r="D45" s="52" t="s">
        <v>28</v>
      </c>
      <c r="E45" s="52" t="s">
        <v>218</v>
      </c>
      <c r="F45" s="53" t="s">
        <v>219</v>
      </c>
      <c r="G45" s="54">
        <v>3.6</v>
      </c>
      <c r="H45" s="55" t="s">
        <v>56</v>
      </c>
      <c r="I45" s="55">
        <v>2569</v>
      </c>
      <c r="J45" s="56">
        <v>46234</v>
      </c>
      <c r="K45" s="56">
        <v>46357</v>
      </c>
      <c r="L45" s="55" t="s">
        <v>133</v>
      </c>
      <c r="M45" s="55" t="s">
        <v>35</v>
      </c>
      <c r="N45" s="55" t="s">
        <v>36</v>
      </c>
      <c r="O45" s="54">
        <v>309600</v>
      </c>
      <c r="P45" s="54">
        <v>166752</v>
      </c>
      <c r="Q45" s="54" t="s">
        <v>787</v>
      </c>
      <c r="R45" s="30" t="s">
        <v>220</v>
      </c>
      <c r="S45" s="30" t="s">
        <v>221</v>
      </c>
      <c r="T45" s="54" t="s">
        <v>53</v>
      </c>
      <c r="U45" s="54"/>
      <c r="V45" s="54"/>
      <c r="W45" s="54">
        <f>AF45</f>
        <v>3.96</v>
      </c>
      <c r="X45" s="54"/>
      <c r="Y45" s="54"/>
      <c r="Z45" s="72" cm="1">
        <f t="array" ref="Z45">_xlfn.LET(
_xlpm.a,IF(ISNUMBER($U45),$U45,IFERROR(_xlfn.NUMBERVALUE(TRIM($U45)),0)),
_xlpm.b,IF(ISNUMBER($V45),$V45,IFERROR(_xlfn.NUMBERVALUE(TRIM($V45)),0)),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45" s="72" cm="1">
        <f t="array" ref="AA45">_xlfn.IFS($W45=0,0,AND($W45&gt;0,$W45&lt;=0.5),2,AND($W45&gt;0.5,$W45&lt;=1),3,AND($W45&gt;1,$W45&lt;=1.5),4,AND($W45&gt;1.5,$W45&lt;=2),5,AND($W45&gt;2,$W45&lt;=3),6,AND($W45&gt;3,$W45&lt;=4),7,$W45&gt;4,8)</f>
        <v>7</v>
      </c>
      <c r="AB45" s="72" cm="1">
        <f t="array" ref="AB45">_xlfn.IFS($X45=0,0,AND($X45&gt;0,$X45&lt;=0.5),2,AND($X45&gt;0.5,$X45&lt;=1),3,AND($X45&gt;1,$X45&lt;=1.5),4,AND($X45&gt;1.5,$X45&lt;=2),5,AND($X45&gt;2,$X45&lt;=3),6,AND($X45&gt;3,$X45&lt;=4),7,$X45&gt;4,8)</f>
        <v>0</v>
      </c>
      <c r="AC45" s="72" cm="1">
        <f t="array" ref="AC45">_xlfn.IFS($Y45=0,0,AND($Y45&gt;0,$Y45&lt;=0.5),2,AND($Y45&gt;0.5,$Y45&lt;=1),3,AND($Y45&gt;1,$Y45&lt;=1.5),4,AND($Y45&gt;1.5,$Y45&lt;=2),5,AND($Y45&gt;2,$Y45&lt;=3),6,AND($Y45&gt;3,$Y45&lt;=4),7,$Y45&gt;4,8)</f>
        <v>0</v>
      </c>
      <c r="AD45" s="54">
        <v>3.42</v>
      </c>
      <c r="AE45" s="54">
        <v>0.54</v>
      </c>
      <c r="AF45" s="54">
        <f t="shared" si="2"/>
        <v>3.96</v>
      </c>
      <c r="AG45" s="55">
        <v>2570</v>
      </c>
      <c r="AH45" s="54" t="s">
        <v>41</v>
      </c>
    </row>
    <row r="46" spans="1:34" x14ac:dyDescent="0.2">
      <c r="A46" s="52">
        <v>43</v>
      </c>
      <c r="B46" s="52" t="s">
        <v>26</v>
      </c>
      <c r="C46" s="52" t="s">
        <v>27</v>
      </c>
      <c r="D46" s="52" t="s">
        <v>28</v>
      </c>
      <c r="E46" s="52" t="s">
        <v>222</v>
      </c>
      <c r="F46" s="53" t="s">
        <v>223</v>
      </c>
      <c r="G46" s="54">
        <v>8</v>
      </c>
      <c r="H46" s="55" t="s">
        <v>44</v>
      </c>
      <c r="I46" s="55">
        <v>2569</v>
      </c>
      <c r="J46" s="56">
        <v>46234</v>
      </c>
      <c r="K46" s="56">
        <v>46357</v>
      </c>
      <c r="L46" s="55" t="s">
        <v>133</v>
      </c>
      <c r="M46" s="55" t="s">
        <v>35</v>
      </c>
      <c r="N46" s="55" t="s">
        <v>36</v>
      </c>
      <c r="O46" s="54">
        <v>832500</v>
      </c>
      <c r="P46" s="54">
        <v>521100</v>
      </c>
      <c r="Q46" s="54" t="s">
        <v>787</v>
      </c>
      <c r="R46" s="30" t="s">
        <v>224</v>
      </c>
      <c r="S46" s="30" t="s">
        <v>225</v>
      </c>
      <c r="T46" s="54" t="s">
        <v>40</v>
      </c>
      <c r="U46" s="54"/>
      <c r="V46" s="54"/>
      <c r="W46" s="54"/>
      <c r="X46" s="54">
        <f>AF46</f>
        <v>8.7999999999999989</v>
      </c>
      <c r="Y46" s="54"/>
      <c r="Z46" s="72" cm="1">
        <f t="array" ref="Z46">_xlfn.LET(
_xlpm.a,IF(ISNUMBER($U46),$U46,IFERROR(_xlfn.NUMBERVALUE(TRIM($U46)),0)),
_xlpm.b,IF(ISNUMBER($V46),$V46,IFERROR(_xlfn.NUMBERVALUE(TRIM($V46)),0)),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46" s="72" cm="1">
        <f t="array" ref="AA46">_xlfn.IFS($W46=0,0,AND($W46&gt;0,$W46&lt;=0.5),2,AND($W46&gt;0.5,$W46&lt;=1),3,AND($W46&gt;1,$W46&lt;=1.5),4,AND($W46&gt;1.5,$W46&lt;=2),5,AND($W46&gt;2,$W46&lt;=3),6,AND($W46&gt;3,$W46&lt;=4),7,$W46&gt;4,8)</f>
        <v>0</v>
      </c>
      <c r="AB46" s="72" cm="1">
        <f t="array" ref="AB46">_xlfn.IFS($X46=0,0,AND($X46&gt;0,$X46&lt;=0.5),2,AND($X46&gt;0.5,$X46&lt;=1),3,AND($X46&gt;1,$X46&lt;=1.5),4,AND($X46&gt;1.5,$X46&lt;=2),5,AND($X46&gt;2,$X46&lt;=3),6,AND($X46&gt;3,$X46&lt;=4),7,$X46&gt;4,8)</f>
        <v>8</v>
      </c>
      <c r="AC46" s="72" cm="1">
        <f t="array" ref="AC46">_xlfn.IFS($Y46=0,0,AND($Y46&gt;0,$Y46&lt;=0.5),2,AND($Y46&gt;0.5,$Y46&lt;=1),3,AND($Y46&gt;1,$Y46&lt;=1.5),4,AND($Y46&gt;1.5,$Y46&lt;=2),5,AND($Y46&gt;2,$Y46&lt;=3),6,AND($Y46&gt;3,$Y46&lt;=4),7,$Y46&gt;4,8)</f>
        <v>0</v>
      </c>
      <c r="AD46" s="54">
        <v>7.6</v>
      </c>
      <c r="AE46" s="54">
        <v>1.2</v>
      </c>
      <c r="AF46" s="54">
        <f t="shared" si="2"/>
        <v>8.7999999999999989</v>
      </c>
      <c r="AG46" s="55">
        <v>2570</v>
      </c>
      <c r="AH46" s="54" t="s">
        <v>59</v>
      </c>
    </row>
    <row r="47" spans="1:34" x14ac:dyDescent="0.2">
      <c r="A47" s="52">
        <v>44</v>
      </c>
      <c r="B47" s="52" t="s">
        <v>26</v>
      </c>
      <c r="C47" s="52" t="s">
        <v>27</v>
      </c>
      <c r="D47" s="52" t="s">
        <v>28</v>
      </c>
      <c r="E47" s="52" t="s">
        <v>226</v>
      </c>
      <c r="F47" s="53" t="s">
        <v>227</v>
      </c>
      <c r="G47" s="54">
        <v>1</v>
      </c>
      <c r="H47" s="55" t="s">
        <v>31</v>
      </c>
      <c r="I47" s="55">
        <v>2570</v>
      </c>
      <c r="J47" s="56">
        <v>46295</v>
      </c>
      <c r="K47" s="56">
        <v>46412</v>
      </c>
      <c r="L47" s="55" t="s">
        <v>133</v>
      </c>
      <c r="M47" s="55" t="s">
        <v>35</v>
      </c>
      <c r="N47" s="62" t="s">
        <v>71</v>
      </c>
      <c r="O47" s="63">
        <f t="shared" ref="O47:O78" si="3">IF(N47="yes",
IF(T47="60C",AD47*180000/2,
IF(T47="144C",AD47*215000/2,
IF(T47="216C",AD47*245000/2,
0)
)
),
IF(T47="60C",AD47*180000,
IF(T47="144C",AD47*215000,
IF(T47="216C",AD47*245000,
))))</f>
        <v>171000</v>
      </c>
      <c r="P47" s="63">
        <f t="shared" ref="P47:P78" si="4">IF(N47="yes",ROUNDUP(AD47,1)*9650*12/2,ROUNDUP(AD47,1)*9650*12)</f>
        <v>115800</v>
      </c>
      <c r="Q47" s="54" t="s">
        <v>787</v>
      </c>
      <c r="R47" s="30" t="s">
        <v>228</v>
      </c>
      <c r="S47" s="30" t="s">
        <v>229</v>
      </c>
      <c r="T47" s="54" t="s">
        <v>53</v>
      </c>
      <c r="U47" s="54"/>
      <c r="V47" s="54"/>
      <c r="W47" s="54">
        <f>AF47</f>
        <v>1.0999999999999999</v>
      </c>
      <c r="X47" s="54"/>
      <c r="Y47" s="54"/>
      <c r="Z47" s="72" cm="1">
        <f t="array" ref="Z47">_xlfn.LET(
_xlpm.a,IF(ISNUMBER($U47),$U47,IFERROR(_xlfn.NUMBERVALUE(TRIM($U47)),0)),
_xlpm.b,IF(ISNUMBER($V47),$V47,IFERROR(_xlfn.NUMBERVALUE(TRIM($V47)),0)),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47" s="72" cm="1">
        <f t="array" ref="AA47">_xlfn.IFS($W47=0,0,AND($W47&gt;0,$W47&lt;=0.5),2,AND($W47&gt;0.5,$W47&lt;=1),3,AND($W47&gt;1,$W47&lt;=1.5),4,AND($W47&gt;1.5,$W47&lt;=2),5,AND($W47&gt;2,$W47&lt;=3),6,AND($W47&gt;3,$W47&lt;=4),7,$W47&gt;4,8)</f>
        <v>4</v>
      </c>
      <c r="AB47" s="72" cm="1">
        <f t="array" ref="AB47">_xlfn.IFS($X47=0,0,AND($X47&gt;0,$X47&lt;=0.5),2,AND($X47&gt;0.5,$X47&lt;=1),3,AND($X47&gt;1,$X47&lt;=1.5),4,AND($X47&gt;1.5,$X47&lt;=2),5,AND($X47&gt;2,$X47&lt;=3),6,AND($X47&gt;3,$X47&lt;=4),7,$X47&gt;4,8)</f>
        <v>0</v>
      </c>
      <c r="AC47" s="72" cm="1">
        <f t="array" ref="AC47">_xlfn.IFS($Y47=0,0,AND($Y47&gt;0,$Y47&lt;=0.5),2,AND($Y47&gt;0.5,$Y47&lt;=1),3,AND($Y47&gt;1,$Y47&lt;=1.5),4,AND($Y47&gt;1.5,$Y47&lt;=2),5,AND($Y47&gt;2,$Y47&lt;=3),6,AND($Y47&gt;3,$Y47&lt;=4),7,$Y47&gt;4,8)</f>
        <v>0</v>
      </c>
      <c r="AD47" s="54">
        <v>0.95</v>
      </c>
      <c r="AE47" s="54">
        <v>0.15</v>
      </c>
      <c r="AF47" s="54">
        <f t="shared" si="2"/>
        <v>1.0999999999999999</v>
      </c>
      <c r="AG47" s="55">
        <v>2570</v>
      </c>
      <c r="AH47" s="54" t="s">
        <v>59</v>
      </c>
    </row>
    <row r="48" spans="1:34" x14ac:dyDescent="0.2">
      <c r="A48" s="52">
        <v>45</v>
      </c>
      <c r="B48" s="52" t="s">
        <v>26</v>
      </c>
      <c r="C48" s="52" t="s">
        <v>27</v>
      </c>
      <c r="D48" s="52" t="s">
        <v>28</v>
      </c>
      <c r="E48" s="52" t="s">
        <v>230</v>
      </c>
      <c r="F48" s="53" t="s">
        <v>231</v>
      </c>
      <c r="G48" s="54">
        <v>8</v>
      </c>
      <c r="H48" s="55" t="s">
        <v>44</v>
      </c>
      <c r="I48" s="55">
        <v>2570</v>
      </c>
      <c r="J48" s="56">
        <v>46295</v>
      </c>
      <c r="K48" s="56">
        <v>46415</v>
      </c>
      <c r="L48" s="55" t="s">
        <v>133</v>
      </c>
      <c r="M48" s="55" t="s">
        <v>35</v>
      </c>
      <c r="N48" s="62" t="s">
        <v>36</v>
      </c>
      <c r="O48" s="63">
        <f t="shared" si="3"/>
        <v>684000</v>
      </c>
      <c r="P48" s="63">
        <f t="shared" si="4"/>
        <v>440040</v>
      </c>
      <c r="Q48" s="54" t="s">
        <v>787</v>
      </c>
      <c r="R48" s="30" t="s">
        <v>232</v>
      </c>
      <c r="S48" s="30" t="s">
        <v>233</v>
      </c>
      <c r="T48" s="54" t="s">
        <v>53</v>
      </c>
      <c r="U48" s="54"/>
      <c r="V48" s="54"/>
      <c r="W48" s="54">
        <f>AF48</f>
        <v>8.7999999999999989</v>
      </c>
      <c r="X48" s="54"/>
      <c r="Y48" s="54"/>
      <c r="Z48" s="72" cm="1">
        <f t="array" ref="Z48">_xlfn.LET(
_xlpm.a,IF(ISNUMBER($U48),$U48,IFERROR(_xlfn.NUMBERVALUE(TRIM($U48)),0)),
_xlpm.b,IF(ISNUMBER($V48),$V48,IFERROR(_xlfn.NUMBERVALUE(TRIM($V48)),0)),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48" s="72" cm="1">
        <f t="array" ref="AA48">_xlfn.IFS($W48=0,0,AND($W48&gt;0,$W48&lt;=0.5),2,AND($W48&gt;0.5,$W48&lt;=1),3,AND($W48&gt;1,$W48&lt;=1.5),4,AND($W48&gt;1.5,$W48&lt;=2),5,AND($W48&gt;2,$W48&lt;=3),6,AND($W48&gt;3,$W48&lt;=4),7,$W48&gt;4,8)</f>
        <v>8</v>
      </c>
      <c r="AB48" s="72" cm="1">
        <f t="array" ref="AB48">_xlfn.IFS($X48=0,0,AND($X48&gt;0,$X48&lt;=0.5),2,AND($X48&gt;0.5,$X48&lt;=1),3,AND($X48&gt;1,$X48&lt;=1.5),4,AND($X48&gt;1.5,$X48&lt;=2),5,AND($X48&gt;2,$X48&lt;=3),6,AND($X48&gt;3,$X48&lt;=4),7,$X48&gt;4,8)</f>
        <v>0</v>
      </c>
      <c r="AC48" s="72" cm="1">
        <f t="array" ref="AC48">_xlfn.IFS($Y48=0,0,AND($Y48&gt;0,$Y48&lt;=0.5),2,AND($Y48&gt;0.5,$Y48&lt;=1),3,AND($Y48&gt;1,$Y48&lt;=1.5),4,AND($Y48&gt;1.5,$Y48&lt;=2),5,AND($Y48&gt;2,$Y48&lt;=3),6,AND($Y48&gt;3,$Y48&lt;=4),7,$Y48&gt;4,8)</f>
        <v>0</v>
      </c>
      <c r="AD48" s="54">
        <v>7.6</v>
      </c>
      <c r="AE48" s="54">
        <v>1.2</v>
      </c>
      <c r="AF48" s="54">
        <f t="shared" si="2"/>
        <v>8.7999999999999989</v>
      </c>
      <c r="AG48" s="55">
        <v>2570</v>
      </c>
      <c r="AH48" s="54" t="s">
        <v>41</v>
      </c>
    </row>
    <row r="49" spans="1:34" x14ac:dyDescent="0.2">
      <c r="A49" s="52">
        <v>46</v>
      </c>
      <c r="B49" s="52" t="s">
        <v>26</v>
      </c>
      <c r="C49" s="52" t="s">
        <v>27</v>
      </c>
      <c r="D49" s="52" t="s">
        <v>28</v>
      </c>
      <c r="E49" s="52" t="s">
        <v>234</v>
      </c>
      <c r="F49" s="53" t="s">
        <v>235</v>
      </c>
      <c r="G49" s="54">
        <v>2</v>
      </c>
      <c r="H49" s="55" t="s">
        <v>31</v>
      </c>
      <c r="I49" s="55">
        <v>2570</v>
      </c>
      <c r="J49" s="56">
        <v>46295</v>
      </c>
      <c r="K49" s="56">
        <v>46419</v>
      </c>
      <c r="L49" s="55" t="s">
        <v>133</v>
      </c>
      <c r="M49" s="55" t="s">
        <v>35</v>
      </c>
      <c r="N49" s="62" t="s">
        <v>71</v>
      </c>
      <c r="O49" s="63">
        <f t="shared" si="3"/>
        <v>465500</v>
      </c>
      <c r="P49" s="63">
        <f t="shared" si="4"/>
        <v>220020</v>
      </c>
      <c r="Q49" s="54" t="s">
        <v>787</v>
      </c>
      <c r="R49" s="30" t="s">
        <v>236</v>
      </c>
      <c r="S49" s="30" t="s">
        <v>237</v>
      </c>
      <c r="T49" s="54" t="s">
        <v>185</v>
      </c>
      <c r="U49" s="54"/>
      <c r="V49" s="54"/>
      <c r="W49" s="54"/>
      <c r="X49" s="54"/>
      <c r="Y49" s="54">
        <f>AF49</f>
        <v>2.1999999999999997</v>
      </c>
      <c r="Z49" s="72" cm="1">
        <f t="array" ref="Z49">_xlfn.LET(
_xlpm.a,IF(ISNUMBER($U49),$U49,IFERROR(_xlfn.NUMBERVALUE(TRIM($U49)),0)),
_xlpm.b,IF(ISNUMBER($V49),$V49,IFERROR(_xlfn.NUMBERVALUE(TRIM($V49)),0)),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49" s="72" cm="1">
        <f t="array" ref="AA49">_xlfn.IFS($W49=0,0,AND($W49&gt;0,$W49&lt;=0.5),2,AND($W49&gt;0.5,$W49&lt;=1),3,AND($W49&gt;1,$W49&lt;=1.5),4,AND($W49&gt;1.5,$W49&lt;=2),5,AND($W49&gt;2,$W49&lt;=3),6,AND($W49&gt;3,$W49&lt;=4),7,$W49&gt;4,8)</f>
        <v>0</v>
      </c>
      <c r="AB49" s="72" cm="1">
        <f t="array" ref="AB49">_xlfn.IFS($X49=0,0,AND($X49&gt;0,$X49&lt;=0.5),2,AND($X49&gt;0.5,$X49&lt;=1),3,AND($X49&gt;1,$X49&lt;=1.5),4,AND($X49&gt;1.5,$X49&lt;=2),5,AND($X49&gt;2,$X49&lt;=3),6,AND($X49&gt;3,$X49&lt;=4),7,$X49&gt;4,8)</f>
        <v>0</v>
      </c>
      <c r="AC49" s="72" cm="1">
        <f t="array" ref="AC49">_xlfn.IFS($Y49=0,0,AND($Y49&gt;0,$Y49&lt;=0.5),2,AND($Y49&gt;0.5,$Y49&lt;=1),3,AND($Y49&gt;1,$Y49&lt;=1.5),4,AND($Y49&gt;1.5,$Y49&lt;=2),5,AND($Y49&gt;2,$Y49&lt;=3),6,AND($Y49&gt;3,$Y49&lt;=4),7,$Y49&gt;4,8)</f>
        <v>6</v>
      </c>
      <c r="AD49" s="54">
        <v>1.9</v>
      </c>
      <c r="AE49" s="54">
        <v>0.3</v>
      </c>
      <c r="AF49" s="54">
        <f t="shared" si="2"/>
        <v>2.1999999999999997</v>
      </c>
      <c r="AG49" s="55">
        <v>2570</v>
      </c>
      <c r="AH49" s="54" t="s">
        <v>66</v>
      </c>
    </row>
    <row r="50" spans="1:34" x14ac:dyDescent="0.2">
      <c r="A50" s="52">
        <v>47</v>
      </c>
      <c r="B50" s="52" t="s">
        <v>26</v>
      </c>
      <c r="C50" s="52" t="s">
        <v>27</v>
      </c>
      <c r="D50" s="52" t="s">
        <v>28</v>
      </c>
      <c r="E50" s="52" t="s">
        <v>238</v>
      </c>
      <c r="F50" s="53" t="s">
        <v>239</v>
      </c>
      <c r="G50" s="54">
        <v>4</v>
      </c>
      <c r="H50" s="55" t="s">
        <v>44</v>
      </c>
      <c r="I50" s="55">
        <v>2570</v>
      </c>
      <c r="J50" s="56">
        <v>46295</v>
      </c>
      <c r="K50" s="56">
        <v>46419</v>
      </c>
      <c r="L50" s="55" t="s">
        <v>133</v>
      </c>
      <c r="M50" s="55" t="s">
        <v>35</v>
      </c>
      <c r="N50" s="62" t="s">
        <v>36</v>
      </c>
      <c r="O50" s="63">
        <f t="shared" si="3"/>
        <v>342000</v>
      </c>
      <c r="P50" s="63">
        <f t="shared" si="4"/>
        <v>220020</v>
      </c>
      <c r="Q50" s="54" t="s">
        <v>787</v>
      </c>
      <c r="R50" s="30" t="s">
        <v>240</v>
      </c>
      <c r="S50" s="30" t="s">
        <v>241</v>
      </c>
      <c r="T50" s="54" t="s">
        <v>53</v>
      </c>
      <c r="U50" s="54"/>
      <c r="V50" s="54"/>
      <c r="W50" s="54">
        <f>AF50</f>
        <v>4.3999999999999995</v>
      </c>
      <c r="X50" s="54"/>
      <c r="Y50" s="54"/>
      <c r="Z50" s="72" cm="1">
        <f t="array" ref="Z50">_xlfn.LET(
_xlpm.a,IF(ISNUMBER($U50),$U50,IFERROR(_xlfn.NUMBERVALUE(TRIM($U50)),0)),
_xlpm.b,IF(ISNUMBER($V50),$V50,IFERROR(_xlfn.NUMBERVALUE(TRIM($V50)),0)),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50" s="72" cm="1">
        <f t="array" ref="AA50">_xlfn.IFS($W50=0,0,AND($W50&gt;0,$W50&lt;=0.5),2,AND($W50&gt;0.5,$W50&lt;=1),3,AND($W50&gt;1,$W50&lt;=1.5),4,AND($W50&gt;1.5,$W50&lt;=2),5,AND($W50&gt;2,$W50&lt;=3),6,AND($W50&gt;3,$W50&lt;=4),7,$W50&gt;4,8)</f>
        <v>8</v>
      </c>
      <c r="AB50" s="72" cm="1">
        <f t="array" ref="AB50">_xlfn.IFS($X50=0,0,AND($X50&gt;0,$X50&lt;=0.5),2,AND($X50&gt;0.5,$X50&lt;=1),3,AND($X50&gt;1,$X50&lt;=1.5),4,AND($X50&gt;1.5,$X50&lt;=2),5,AND($X50&gt;2,$X50&lt;=3),6,AND($X50&gt;3,$X50&lt;=4),7,$X50&gt;4,8)</f>
        <v>0</v>
      </c>
      <c r="AC50" s="72" cm="1">
        <f t="array" ref="AC50">_xlfn.IFS($Y50=0,0,AND($Y50&gt;0,$Y50&lt;=0.5),2,AND($Y50&gt;0.5,$Y50&lt;=1),3,AND($Y50&gt;1,$Y50&lt;=1.5),4,AND($Y50&gt;1.5,$Y50&lt;=2),5,AND($Y50&gt;2,$Y50&lt;=3),6,AND($Y50&gt;3,$Y50&lt;=4),7,$Y50&gt;4,8)</f>
        <v>0</v>
      </c>
      <c r="AD50" s="54">
        <v>3.8</v>
      </c>
      <c r="AE50" s="54">
        <v>0.6</v>
      </c>
      <c r="AF50" s="54">
        <f t="shared" si="2"/>
        <v>4.3999999999999995</v>
      </c>
      <c r="AG50" s="55">
        <v>2570</v>
      </c>
      <c r="AH50" s="54" t="s">
        <v>47</v>
      </c>
    </row>
    <row r="51" spans="1:34" x14ac:dyDescent="0.2">
      <c r="A51" s="52">
        <v>48</v>
      </c>
      <c r="B51" s="52" t="s">
        <v>26</v>
      </c>
      <c r="C51" s="52" t="s">
        <v>27</v>
      </c>
      <c r="D51" s="52" t="s">
        <v>28</v>
      </c>
      <c r="E51" s="52" t="s">
        <v>242</v>
      </c>
      <c r="F51" s="53" t="s">
        <v>243</v>
      </c>
      <c r="G51" s="54">
        <v>3</v>
      </c>
      <c r="H51" s="55" t="s">
        <v>44</v>
      </c>
      <c r="I51" s="55">
        <v>2570</v>
      </c>
      <c r="J51" s="56">
        <v>46295</v>
      </c>
      <c r="K51" s="56">
        <v>46419</v>
      </c>
      <c r="L51" s="55" t="s">
        <v>133</v>
      </c>
      <c r="M51" s="55" t="s">
        <v>35</v>
      </c>
      <c r="N51" s="62" t="s">
        <v>36</v>
      </c>
      <c r="O51" s="63">
        <f t="shared" si="3"/>
        <v>256499.99999999997</v>
      </c>
      <c r="P51" s="63">
        <f t="shared" si="4"/>
        <v>167910</v>
      </c>
      <c r="Q51" s="54" t="s">
        <v>787</v>
      </c>
      <c r="R51" s="30" t="s">
        <v>244</v>
      </c>
      <c r="S51" s="30" t="s">
        <v>245</v>
      </c>
      <c r="T51" s="54" t="s">
        <v>53</v>
      </c>
      <c r="U51" s="54"/>
      <c r="V51" s="54"/>
      <c r="W51" s="54">
        <f>AF51</f>
        <v>3.3</v>
      </c>
      <c r="X51" s="54"/>
      <c r="Y51" s="54"/>
      <c r="Z51" s="72" cm="1">
        <f t="array" ref="Z51">_xlfn.LET(
_xlpm.a,IF(ISNUMBER($U51),$U51,IFERROR(_xlfn.NUMBERVALUE(TRIM($U51)),0)),
_xlpm.b,IF(ISNUMBER($V51),$V51,IFERROR(_xlfn.NUMBERVALUE(TRIM($V51)),0)),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51" s="72" cm="1">
        <f t="array" ref="AA51">_xlfn.IFS($W51=0,0,AND($W51&gt;0,$W51&lt;=0.5),2,AND($W51&gt;0.5,$W51&lt;=1),3,AND($W51&gt;1,$W51&lt;=1.5),4,AND($W51&gt;1.5,$W51&lt;=2),5,AND($W51&gt;2,$W51&lt;=3),6,AND($W51&gt;3,$W51&lt;=4),7,$W51&gt;4,8)</f>
        <v>7</v>
      </c>
      <c r="AB51" s="72" cm="1">
        <f t="array" ref="AB51">_xlfn.IFS($X51=0,0,AND($X51&gt;0,$X51&lt;=0.5),2,AND($X51&gt;0.5,$X51&lt;=1),3,AND($X51&gt;1,$X51&lt;=1.5),4,AND($X51&gt;1.5,$X51&lt;=2),5,AND($X51&gt;2,$X51&lt;=3),6,AND($X51&gt;3,$X51&lt;=4),7,$X51&gt;4,8)</f>
        <v>0</v>
      </c>
      <c r="AC51" s="72" cm="1">
        <f t="array" ref="AC51">_xlfn.IFS($Y51=0,0,AND($Y51&gt;0,$Y51&lt;=0.5),2,AND($Y51&gt;0.5,$Y51&lt;=1),3,AND($Y51&gt;1,$Y51&lt;=1.5),4,AND($Y51&gt;1.5,$Y51&lt;=2),5,AND($Y51&gt;2,$Y51&lt;=3),6,AND($Y51&gt;3,$Y51&lt;=4),7,$Y51&gt;4,8)</f>
        <v>0</v>
      </c>
      <c r="AD51" s="54">
        <v>2.8499999999999996</v>
      </c>
      <c r="AE51" s="54">
        <v>0.44999999999999996</v>
      </c>
      <c r="AF51" s="54">
        <f t="shared" si="2"/>
        <v>3.3</v>
      </c>
      <c r="AG51" s="55">
        <v>2570</v>
      </c>
      <c r="AH51" s="54" t="s">
        <v>66</v>
      </c>
    </row>
    <row r="52" spans="1:34" x14ac:dyDescent="0.2">
      <c r="A52" s="52">
        <v>49</v>
      </c>
      <c r="B52" s="52" t="s">
        <v>26</v>
      </c>
      <c r="C52" s="52" t="s">
        <v>27</v>
      </c>
      <c r="D52" s="52" t="s">
        <v>28</v>
      </c>
      <c r="E52" s="52" t="s">
        <v>246</v>
      </c>
      <c r="F52" s="53" t="s">
        <v>247</v>
      </c>
      <c r="G52" s="54">
        <v>7.6</v>
      </c>
      <c r="H52" s="55" t="s">
        <v>31</v>
      </c>
      <c r="I52" s="55">
        <v>2570</v>
      </c>
      <c r="J52" s="56">
        <v>46295</v>
      </c>
      <c r="K52" s="56">
        <v>46423</v>
      </c>
      <c r="L52" s="55" t="s">
        <v>133</v>
      </c>
      <c r="M52" s="55" t="s">
        <v>134</v>
      </c>
      <c r="N52" s="62" t="s">
        <v>36</v>
      </c>
      <c r="O52" s="63">
        <f t="shared" si="3"/>
        <v>649800</v>
      </c>
      <c r="P52" s="63">
        <f t="shared" si="4"/>
        <v>422670</v>
      </c>
      <c r="Q52" s="54" t="s">
        <v>787</v>
      </c>
      <c r="R52" s="30" t="s">
        <v>248</v>
      </c>
      <c r="S52" s="30" t="s">
        <v>249</v>
      </c>
      <c r="T52" s="54" t="s">
        <v>53</v>
      </c>
      <c r="U52" s="54"/>
      <c r="V52" s="54"/>
      <c r="W52" s="54">
        <f>AF52</f>
        <v>8.36</v>
      </c>
      <c r="X52" s="54"/>
      <c r="Y52" s="54"/>
      <c r="Z52" s="72" cm="1">
        <f t="array" ref="Z52">_xlfn.LET(
_xlpm.a,IF(ISNUMBER($U52),$U52,IFERROR(_xlfn.NUMBERVALUE(TRIM($U52)),0)),
_xlpm.b,IF(ISNUMBER($V52),$V52,IFERROR(_xlfn.NUMBERVALUE(TRIM($V52)),0)),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52" s="72" cm="1">
        <f t="array" ref="AA52">_xlfn.IFS($W52=0,0,AND($W52&gt;0,$W52&lt;=0.5),2,AND($W52&gt;0.5,$W52&lt;=1),3,AND($W52&gt;1,$W52&lt;=1.5),4,AND($W52&gt;1.5,$W52&lt;=2),5,AND($W52&gt;2,$W52&lt;=3),6,AND($W52&gt;3,$W52&lt;=4),7,$W52&gt;4,8)</f>
        <v>8</v>
      </c>
      <c r="AB52" s="72" cm="1">
        <f t="array" ref="AB52">_xlfn.IFS($X52=0,0,AND($X52&gt;0,$X52&lt;=0.5),2,AND($X52&gt;0.5,$X52&lt;=1),3,AND($X52&gt;1,$X52&lt;=1.5),4,AND($X52&gt;1.5,$X52&lt;=2),5,AND($X52&gt;2,$X52&lt;=3),6,AND($X52&gt;3,$X52&lt;=4),7,$X52&gt;4,8)</f>
        <v>0</v>
      </c>
      <c r="AC52" s="72" cm="1">
        <f t="array" ref="AC52">_xlfn.IFS($Y52=0,0,AND($Y52&gt;0,$Y52&lt;=0.5),2,AND($Y52&gt;0.5,$Y52&lt;=1),3,AND($Y52&gt;1,$Y52&lt;=1.5),4,AND($Y52&gt;1.5,$Y52&lt;=2),5,AND($Y52&gt;2,$Y52&lt;=3),6,AND($Y52&gt;3,$Y52&lt;=4),7,$Y52&gt;4,8)</f>
        <v>0</v>
      </c>
      <c r="AD52" s="54">
        <v>7.22</v>
      </c>
      <c r="AE52" s="54">
        <v>1.1399999999999999</v>
      </c>
      <c r="AF52" s="54">
        <f t="shared" si="2"/>
        <v>8.36</v>
      </c>
      <c r="AG52" s="55">
        <v>2570</v>
      </c>
      <c r="AH52" s="54" t="s">
        <v>59</v>
      </c>
    </row>
    <row r="53" spans="1:34" x14ac:dyDescent="0.2">
      <c r="A53" s="52">
        <v>50</v>
      </c>
      <c r="B53" s="52" t="s">
        <v>26</v>
      </c>
      <c r="C53" s="52" t="s">
        <v>27</v>
      </c>
      <c r="D53" s="52" t="s">
        <v>28</v>
      </c>
      <c r="E53" s="52" t="s">
        <v>250</v>
      </c>
      <c r="F53" s="53" t="s">
        <v>251</v>
      </c>
      <c r="G53" s="54">
        <v>5.6</v>
      </c>
      <c r="H53" s="55" t="s">
        <v>56</v>
      </c>
      <c r="I53" s="55">
        <v>2570</v>
      </c>
      <c r="J53" s="56">
        <v>46295</v>
      </c>
      <c r="K53" s="56">
        <v>46426</v>
      </c>
      <c r="L53" s="55" t="s">
        <v>133</v>
      </c>
      <c r="M53" s="55" t="s">
        <v>35</v>
      </c>
      <c r="N53" s="62" t="s">
        <v>71</v>
      </c>
      <c r="O53" s="63">
        <f t="shared" si="3"/>
        <v>1303399.9999999998</v>
      </c>
      <c r="P53" s="63">
        <f t="shared" si="4"/>
        <v>625319.99999999988</v>
      </c>
      <c r="Q53" s="54" t="s">
        <v>787</v>
      </c>
      <c r="R53" s="30" t="s">
        <v>229</v>
      </c>
      <c r="S53" s="30" t="s">
        <v>252</v>
      </c>
      <c r="T53" s="54" t="s">
        <v>185</v>
      </c>
      <c r="U53" s="54"/>
      <c r="V53" s="54"/>
      <c r="W53" s="54"/>
      <c r="X53" s="54"/>
      <c r="Y53" s="54">
        <f>AF53</f>
        <v>6.1599999999999993</v>
      </c>
      <c r="Z53" s="72" cm="1">
        <f t="array" ref="Z53">_xlfn.LET(
_xlpm.a,IF(ISNUMBER($U53),$U53,IFERROR(_xlfn.NUMBERVALUE(TRIM($U53)),0)),
_xlpm.b,IF(ISNUMBER($V53),$V53,IFERROR(_xlfn.NUMBERVALUE(TRIM($V53)),0)),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53" s="72" cm="1">
        <f t="array" ref="AA53">_xlfn.IFS($W53=0,0,AND($W53&gt;0,$W53&lt;=0.5),2,AND($W53&gt;0.5,$W53&lt;=1),3,AND($W53&gt;1,$W53&lt;=1.5),4,AND($W53&gt;1.5,$W53&lt;=2),5,AND($W53&gt;2,$W53&lt;=3),6,AND($W53&gt;3,$W53&lt;=4),7,$W53&gt;4,8)</f>
        <v>0</v>
      </c>
      <c r="AB53" s="72" cm="1">
        <f t="array" ref="AB53">_xlfn.IFS($X53=0,0,AND($X53&gt;0,$X53&lt;=0.5),2,AND($X53&gt;0.5,$X53&lt;=1),3,AND($X53&gt;1,$X53&lt;=1.5),4,AND($X53&gt;1.5,$X53&lt;=2),5,AND($X53&gt;2,$X53&lt;=3),6,AND($X53&gt;3,$X53&lt;=4),7,$X53&gt;4,8)</f>
        <v>0</v>
      </c>
      <c r="AC53" s="72" cm="1">
        <f t="array" ref="AC53">_xlfn.IFS($Y53=0,0,AND($Y53&gt;0,$Y53&lt;=0.5),2,AND($Y53&gt;0.5,$Y53&lt;=1),3,AND($Y53&gt;1,$Y53&lt;=1.5),4,AND($Y53&gt;1.5,$Y53&lt;=2),5,AND($Y53&gt;2,$Y53&lt;=3),6,AND($Y53&gt;3,$Y53&lt;=4),7,$Y53&gt;4,8)</f>
        <v>8</v>
      </c>
      <c r="AD53" s="54">
        <v>5.3199999999999994</v>
      </c>
      <c r="AE53" s="54">
        <v>0.84</v>
      </c>
      <c r="AF53" s="54">
        <f t="shared" si="2"/>
        <v>6.1599999999999993</v>
      </c>
      <c r="AG53" s="55">
        <v>2570</v>
      </c>
      <c r="AH53" s="54" t="s">
        <v>41</v>
      </c>
    </row>
    <row r="54" spans="1:34" x14ac:dyDescent="0.2">
      <c r="A54" s="52">
        <v>51</v>
      </c>
      <c r="B54" s="52" t="s">
        <v>26</v>
      </c>
      <c r="C54" s="52" t="s">
        <v>253</v>
      </c>
      <c r="D54" s="52" t="s">
        <v>28</v>
      </c>
      <c r="E54" s="52" t="s">
        <v>254</v>
      </c>
      <c r="F54" s="53" t="s">
        <v>255</v>
      </c>
      <c r="G54" s="54">
        <v>10.4</v>
      </c>
      <c r="H54" s="55" t="s">
        <v>56</v>
      </c>
      <c r="I54" s="55">
        <v>2570</v>
      </c>
      <c r="J54" s="56">
        <v>46326</v>
      </c>
      <c r="K54" s="56">
        <v>46446</v>
      </c>
      <c r="L54" s="55" t="s">
        <v>133</v>
      </c>
      <c r="M54" s="55" t="s">
        <v>35</v>
      </c>
      <c r="N54" s="62" t="s">
        <v>36</v>
      </c>
      <c r="O54" s="63">
        <f t="shared" si="3"/>
        <v>1062100</v>
      </c>
      <c r="P54" s="63">
        <f t="shared" si="4"/>
        <v>573210</v>
      </c>
      <c r="Q54" s="54" t="s">
        <v>787</v>
      </c>
      <c r="R54" s="30" t="s">
        <v>256</v>
      </c>
      <c r="S54" s="30" t="s">
        <v>257</v>
      </c>
      <c r="T54" s="54" t="s">
        <v>40</v>
      </c>
      <c r="U54" s="54"/>
      <c r="V54" s="54"/>
      <c r="W54" s="54"/>
      <c r="X54" s="54">
        <f>AF54</f>
        <v>11.44</v>
      </c>
      <c r="Y54" s="54"/>
      <c r="Z54" s="72" cm="1">
        <f t="array" ref="Z54">_xlfn.LET(
_xlpm.a,IF(ISNUMBER($U54),$U54,IFERROR(_xlfn.NUMBERVALUE(TRIM($U54)),0)),
_xlpm.b,IF(ISNUMBER($V54),$V54,IFERROR(_xlfn.NUMBERVALUE(TRIM($V54)),0)),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54" s="72" cm="1">
        <f t="array" ref="AA54">_xlfn.IFS($W54=0,0,AND($W54&gt;0,$W54&lt;=0.5),2,AND($W54&gt;0.5,$W54&lt;=1),3,AND($W54&gt;1,$W54&lt;=1.5),4,AND($W54&gt;1.5,$W54&lt;=2),5,AND($W54&gt;2,$W54&lt;=3),6,AND($W54&gt;3,$W54&lt;=4),7,$W54&gt;4,8)</f>
        <v>0</v>
      </c>
      <c r="AB54" s="72" cm="1">
        <f t="array" ref="AB54">_xlfn.IFS($X54=0,0,AND($X54&gt;0,$X54&lt;=0.5),2,AND($X54&gt;0.5,$X54&lt;=1),3,AND($X54&gt;1,$X54&lt;=1.5),4,AND($X54&gt;1.5,$X54&lt;=2),5,AND($X54&gt;2,$X54&lt;=3),6,AND($X54&gt;3,$X54&lt;=4),7,$X54&gt;4,8)</f>
        <v>8</v>
      </c>
      <c r="AC54" s="72" cm="1">
        <f t="array" ref="AC54">_xlfn.IFS($Y54=0,0,AND($Y54&gt;0,$Y54&lt;=0.5),2,AND($Y54&gt;0.5,$Y54&lt;=1),3,AND($Y54&gt;1,$Y54&lt;=1.5),4,AND($Y54&gt;1.5,$Y54&lt;=2),5,AND($Y54&gt;2,$Y54&lt;=3),6,AND($Y54&gt;3,$Y54&lt;=4),7,$Y54&gt;4,8)</f>
        <v>0</v>
      </c>
      <c r="AD54" s="54">
        <v>9.879999999999999</v>
      </c>
      <c r="AE54" s="54">
        <v>1.56</v>
      </c>
      <c r="AF54" s="54">
        <f t="shared" si="2"/>
        <v>11.44</v>
      </c>
      <c r="AG54" s="55">
        <v>2570</v>
      </c>
      <c r="AH54" s="54" t="s">
        <v>47</v>
      </c>
    </row>
    <row r="55" spans="1:34" x14ac:dyDescent="0.2">
      <c r="A55" s="52">
        <v>52</v>
      </c>
      <c r="B55" s="52" t="s">
        <v>26</v>
      </c>
      <c r="C55" s="52" t="s">
        <v>213</v>
      </c>
      <c r="D55" s="52" t="s">
        <v>28</v>
      </c>
      <c r="E55" s="52" t="s">
        <v>258</v>
      </c>
      <c r="F55" s="53" t="s">
        <v>259</v>
      </c>
      <c r="G55" s="54">
        <v>8.8000000000000007</v>
      </c>
      <c r="H55" s="55" t="s">
        <v>118</v>
      </c>
      <c r="I55" s="55">
        <v>2570</v>
      </c>
      <c r="J55" s="56">
        <v>46295</v>
      </c>
      <c r="K55" s="56">
        <v>46446</v>
      </c>
      <c r="L55" s="55" t="s">
        <v>133</v>
      </c>
      <c r="M55" s="55" t="s">
        <v>35</v>
      </c>
      <c r="N55" s="62" t="s">
        <v>36</v>
      </c>
      <c r="O55" s="63">
        <f t="shared" si="3"/>
        <v>752400</v>
      </c>
      <c r="P55" s="63">
        <f t="shared" si="4"/>
        <v>486360</v>
      </c>
      <c r="Q55" s="54" t="s">
        <v>787</v>
      </c>
      <c r="R55" s="30" t="s">
        <v>260</v>
      </c>
      <c r="S55" s="30" t="s">
        <v>261</v>
      </c>
      <c r="T55" s="54" t="s">
        <v>53</v>
      </c>
      <c r="U55" s="54"/>
      <c r="V55" s="54"/>
      <c r="W55" s="54">
        <f>AF55</f>
        <v>9.68</v>
      </c>
      <c r="X55" s="54"/>
      <c r="Y55" s="54"/>
      <c r="Z55" s="72" cm="1">
        <f t="array" ref="Z55">_xlfn.LET(
_xlpm.a,IF(ISNUMBER($U55),$U55,IFERROR(_xlfn.NUMBERVALUE(TRIM($U55)),0)),
_xlpm.b,IF(ISNUMBER($V55),$V55,IFERROR(_xlfn.NUMBERVALUE(TRIM($V55)),0)),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55" s="72" cm="1">
        <f t="array" ref="AA55">_xlfn.IFS($W55=0,0,AND($W55&gt;0,$W55&lt;=0.5),2,AND($W55&gt;0.5,$W55&lt;=1),3,AND($W55&gt;1,$W55&lt;=1.5),4,AND($W55&gt;1.5,$W55&lt;=2),5,AND($W55&gt;2,$W55&lt;=3),6,AND($W55&gt;3,$W55&lt;=4),7,$W55&gt;4,8)</f>
        <v>8</v>
      </c>
      <c r="AB55" s="72" cm="1">
        <f t="array" ref="AB55">_xlfn.IFS($X55=0,0,AND($X55&gt;0,$X55&lt;=0.5),2,AND($X55&gt;0.5,$X55&lt;=1),3,AND($X55&gt;1,$X55&lt;=1.5),4,AND($X55&gt;1.5,$X55&lt;=2),5,AND($X55&gt;2,$X55&lt;=3),6,AND($X55&gt;3,$X55&lt;=4),7,$X55&gt;4,8)</f>
        <v>0</v>
      </c>
      <c r="AC55" s="72" cm="1">
        <f t="array" ref="AC55">_xlfn.IFS($Y55=0,0,AND($Y55&gt;0,$Y55&lt;=0.5),2,AND($Y55&gt;0.5,$Y55&lt;=1),3,AND($Y55&gt;1,$Y55&lt;=1.5),4,AND($Y55&gt;1.5,$Y55&lt;=2),5,AND($Y55&gt;2,$Y55&lt;=3),6,AND($Y55&gt;3,$Y55&lt;=4),7,$Y55&gt;4,8)</f>
        <v>0</v>
      </c>
      <c r="AD55" s="54">
        <v>8.36</v>
      </c>
      <c r="AE55" s="54">
        <v>1.32</v>
      </c>
      <c r="AF55" s="54">
        <f t="shared" si="2"/>
        <v>9.68</v>
      </c>
      <c r="AG55" s="55">
        <v>2570</v>
      </c>
      <c r="AH55" s="54" t="s">
        <v>47</v>
      </c>
    </row>
    <row r="56" spans="1:34" x14ac:dyDescent="0.2">
      <c r="A56" s="52">
        <v>53</v>
      </c>
      <c r="B56" s="52" t="s">
        <v>26</v>
      </c>
      <c r="C56" s="52" t="s">
        <v>27</v>
      </c>
      <c r="D56" s="52" t="s">
        <v>28</v>
      </c>
      <c r="E56" s="52" t="s">
        <v>262</v>
      </c>
      <c r="F56" s="53" t="s">
        <v>263</v>
      </c>
      <c r="G56" s="54">
        <v>10</v>
      </c>
      <c r="H56" s="55" t="s">
        <v>118</v>
      </c>
      <c r="I56" s="55">
        <v>2570</v>
      </c>
      <c r="J56" s="56">
        <v>46326</v>
      </c>
      <c r="K56" s="56">
        <v>46447</v>
      </c>
      <c r="L56" s="55" t="s">
        <v>133</v>
      </c>
      <c r="M56" s="55" t="s">
        <v>35</v>
      </c>
      <c r="N56" s="62" t="s">
        <v>36</v>
      </c>
      <c r="O56" s="63">
        <f t="shared" si="3"/>
        <v>1021250</v>
      </c>
      <c r="P56" s="63">
        <f t="shared" si="4"/>
        <v>550050</v>
      </c>
      <c r="Q56" s="54" t="s">
        <v>787</v>
      </c>
      <c r="R56" s="30" t="s">
        <v>264</v>
      </c>
      <c r="S56" s="30" t="s">
        <v>265</v>
      </c>
      <c r="T56" s="54" t="s">
        <v>40</v>
      </c>
      <c r="U56" s="54"/>
      <c r="V56" s="54"/>
      <c r="W56" s="54"/>
      <c r="X56" s="54">
        <f>AF56</f>
        <v>11</v>
      </c>
      <c r="Y56" s="54"/>
      <c r="Z56" s="72" cm="1">
        <f t="array" ref="Z56">_xlfn.LET(
_xlpm.a,IF(ISNUMBER($U56),$U56,IFERROR(_xlfn.NUMBERVALUE(TRIM($U56)),0)),
_xlpm.b,IF(ISNUMBER($V56),$V56,IFERROR(_xlfn.NUMBERVALUE(TRIM($V56)),0)),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56" s="72" cm="1">
        <f t="array" ref="AA56">_xlfn.IFS($W56=0,0,AND($W56&gt;0,$W56&lt;=0.5),2,AND($W56&gt;0.5,$W56&lt;=1),3,AND($W56&gt;1,$W56&lt;=1.5),4,AND($W56&gt;1.5,$W56&lt;=2),5,AND($W56&gt;2,$W56&lt;=3),6,AND($W56&gt;3,$W56&lt;=4),7,$W56&gt;4,8)</f>
        <v>0</v>
      </c>
      <c r="AB56" s="72" cm="1">
        <f t="array" ref="AB56">_xlfn.IFS($X56=0,0,AND($X56&gt;0,$X56&lt;=0.5),2,AND($X56&gt;0.5,$X56&lt;=1),3,AND($X56&gt;1,$X56&lt;=1.5),4,AND($X56&gt;1.5,$X56&lt;=2),5,AND($X56&gt;2,$X56&lt;=3),6,AND($X56&gt;3,$X56&lt;=4),7,$X56&gt;4,8)</f>
        <v>8</v>
      </c>
      <c r="AC56" s="72" cm="1">
        <f t="array" ref="AC56">_xlfn.IFS($Y56=0,0,AND($Y56&gt;0,$Y56&lt;=0.5),2,AND($Y56&gt;0.5,$Y56&lt;=1),3,AND($Y56&gt;1,$Y56&lt;=1.5),4,AND($Y56&gt;1.5,$Y56&lt;=2),5,AND($Y56&gt;2,$Y56&lt;=3),6,AND($Y56&gt;3,$Y56&lt;=4),7,$Y56&gt;4,8)</f>
        <v>0</v>
      </c>
      <c r="AD56" s="54">
        <v>9.5</v>
      </c>
      <c r="AE56" s="54">
        <v>1.5</v>
      </c>
      <c r="AF56" s="54">
        <f t="shared" si="2"/>
        <v>11</v>
      </c>
      <c r="AG56" s="55">
        <v>2570</v>
      </c>
      <c r="AH56" s="54" t="s">
        <v>59</v>
      </c>
    </row>
    <row r="57" spans="1:34" x14ac:dyDescent="0.2">
      <c r="A57" s="52">
        <v>54</v>
      </c>
      <c r="B57" s="52" t="s">
        <v>26</v>
      </c>
      <c r="C57" s="52" t="s">
        <v>266</v>
      </c>
      <c r="D57" s="52" t="s">
        <v>28</v>
      </c>
      <c r="E57" s="52" t="s">
        <v>267</v>
      </c>
      <c r="F57" s="53" t="s">
        <v>268</v>
      </c>
      <c r="G57" s="54">
        <v>4</v>
      </c>
      <c r="H57" s="55" t="s">
        <v>56</v>
      </c>
      <c r="I57" s="55">
        <v>2570</v>
      </c>
      <c r="J57" s="56">
        <v>46295</v>
      </c>
      <c r="K57" s="56">
        <v>46447</v>
      </c>
      <c r="L57" s="55" t="s">
        <v>133</v>
      </c>
      <c r="M57" s="55" t="s">
        <v>35</v>
      </c>
      <c r="N57" s="62" t="s">
        <v>71</v>
      </c>
      <c r="O57" s="63">
        <f t="shared" si="3"/>
        <v>931000</v>
      </c>
      <c r="P57" s="63">
        <f t="shared" si="4"/>
        <v>440040</v>
      </c>
      <c r="Q57" s="54" t="s">
        <v>787</v>
      </c>
      <c r="R57" s="30" t="s">
        <v>269</v>
      </c>
      <c r="S57" s="30" t="s">
        <v>270</v>
      </c>
      <c r="T57" s="54" t="s">
        <v>185</v>
      </c>
      <c r="U57" s="54"/>
      <c r="V57" s="54"/>
      <c r="W57" s="54"/>
      <c r="X57" s="54"/>
      <c r="Y57" s="54">
        <f>AF57</f>
        <v>4.3999999999999995</v>
      </c>
      <c r="Z57" s="72" cm="1">
        <f t="array" ref="Z57">_xlfn.LET(
_xlpm.a,IF(ISNUMBER($U57),$U57,IFERROR(_xlfn.NUMBERVALUE(TRIM($U57)),0)),
_xlpm.b,IF(ISNUMBER($V57),$V57,IFERROR(_xlfn.NUMBERVALUE(TRIM($V57)),0)),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57" s="72" cm="1">
        <f t="array" ref="AA57">_xlfn.IFS($W57=0,0,AND($W57&gt;0,$W57&lt;=0.5),2,AND($W57&gt;0.5,$W57&lt;=1),3,AND($W57&gt;1,$W57&lt;=1.5),4,AND($W57&gt;1.5,$W57&lt;=2),5,AND($W57&gt;2,$W57&lt;=3),6,AND($W57&gt;3,$W57&lt;=4),7,$W57&gt;4,8)</f>
        <v>0</v>
      </c>
      <c r="AB57" s="72" cm="1">
        <f t="array" ref="AB57">_xlfn.IFS($X57=0,0,AND($X57&gt;0,$X57&lt;=0.5),2,AND($X57&gt;0.5,$X57&lt;=1),3,AND($X57&gt;1,$X57&lt;=1.5),4,AND($X57&gt;1.5,$X57&lt;=2),5,AND($X57&gt;2,$X57&lt;=3),6,AND($X57&gt;3,$X57&lt;=4),7,$X57&gt;4,8)</f>
        <v>0</v>
      </c>
      <c r="AC57" s="72" cm="1">
        <f t="array" ref="AC57">_xlfn.IFS($Y57=0,0,AND($Y57&gt;0,$Y57&lt;=0.5),2,AND($Y57&gt;0.5,$Y57&lt;=1),3,AND($Y57&gt;1,$Y57&lt;=1.5),4,AND($Y57&gt;1.5,$Y57&lt;=2),5,AND($Y57&gt;2,$Y57&lt;=3),6,AND($Y57&gt;3,$Y57&lt;=4),7,$Y57&gt;4,8)</f>
        <v>8</v>
      </c>
      <c r="AD57" s="54">
        <v>3.8</v>
      </c>
      <c r="AE57" s="54">
        <v>0.6</v>
      </c>
      <c r="AF57" s="54">
        <f t="shared" si="2"/>
        <v>4.3999999999999995</v>
      </c>
      <c r="AG57" s="55">
        <v>2570</v>
      </c>
      <c r="AH57" s="54" t="s">
        <v>41</v>
      </c>
    </row>
    <row r="58" spans="1:34" x14ac:dyDescent="0.2">
      <c r="A58" s="52">
        <v>55</v>
      </c>
      <c r="B58" s="52" t="s">
        <v>26</v>
      </c>
      <c r="C58" s="52" t="s">
        <v>27</v>
      </c>
      <c r="D58" s="52" t="s">
        <v>28</v>
      </c>
      <c r="E58" s="52" t="s">
        <v>271</v>
      </c>
      <c r="F58" s="53" t="s">
        <v>272</v>
      </c>
      <c r="G58" s="54">
        <v>11.6</v>
      </c>
      <c r="H58" s="55" t="s">
        <v>56</v>
      </c>
      <c r="I58" s="55">
        <v>2570</v>
      </c>
      <c r="J58" s="56">
        <v>46295</v>
      </c>
      <c r="K58" s="56">
        <v>46454</v>
      </c>
      <c r="L58" s="55" t="s">
        <v>133</v>
      </c>
      <c r="M58" s="55" t="s">
        <v>35</v>
      </c>
      <c r="N58" s="62" t="s">
        <v>36</v>
      </c>
      <c r="O58" s="63">
        <f t="shared" si="3"/>
        <v>1184650</v>
      </c>
      <c r="P58" s="63">
        <f t="shared" si="4"/>
        <v>642690</v>
      </c>
      <c r="Q58" s="54" t="s">
        <v>787</v>
      </c>
      <c r="R58" s="30" t="s">
        <v>208</v>
      </c>
      <c r="S58" s="30" t="s">
        <v>273</v>
      </c>
      <c r="T58" s="54" t="s">
        <v>40</v>
      </c>
      <c r="U58" s="54"/>
      <c r="V58" s="54"/>
      <c r="W58" s="54"/>
      <c r="X58" s="54">
        <f>AF58</f>
        <v>12.76</v>
      </c>
      <c r="Y58" s="54"/>
      <c r="Z58" s="72" cm="1">
        <f t="array" ref="Z58">_xlfn.LET(
_xlpm.a,IF(ISNUMBER($U58),$U58,IFERROR(_xlfn.NUMBERVALUE(TRIM($U58)),0)),
_xlpm.b,IF(ISNUMBER($V58),$V58,IFERROR(_xlfn.NUMBERVALUE(TRIM($V58)),0)),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58" s="72" cm="1">
        <f t="array" ref="AA58">_xlfn.IFS($W58=0,0,AND($W58&gt;0,$W58&lt;=0.5),2,AND($W58&gt;0.5,$W58&lt;=1),3,AND($W58&gt;1,$W58&lt;=1.5),4,AND($W58&gt;1.5,$W58&lt;=2),5,AND($W58&gt;2,$W58&lt;=3),6,AND($W58&gt;3,$W58&lt;=4),7,$W58&gt;4,8)</f>
        <v>0</v>
      </c>
      <c r="AB58" s="72" cm="1">
        <f t="array" ref="AB58">_xlfn.IFS($X58=0,0,AND($X58&gt;0,$X58&lt;=0.5),2,AND($X58&gt;0.5,$X58&lt;=1),3,AND($X58&gt;1,$X58&lt;=1.5),4,AND($X58&gt;1.5,$X58&lt;=2),5,AND($X58&gt;2,$X58&lt;=3),6,AND($X58&gt;3,$X58&lt;=4),7,$X58&gt;4,8)</f>
        <v>8</v>
      </c>
      <c r="AC58" s="72" cm="1">
        <f t="array" ref="AC58">_xlfn.IFS($Y58=0,0,AND($Y58&gt;0,$Y58&lt;=0.5),2,AND($Y58&gt;0.5,$Y58&lt;=1),3,AND($Y58&gt;1,$Y58&lt;=1.5),4,AND($Y58&gt;1.5,$Y58&lt;=2),5,AND($Y58&gt;2,$Y58&lt;=3),6,AND($Y58&gt;3,$Y58&lt;=4),7,$Y58&gt;4,8)</f>
        <v>0</v>
      </c>
      <c r="AD58" s="54">
        <v>11.02</v>
      </c>
      <c r="AE58" s="54">
        <v>1.74</v>
      </c>
      <c r="AF58" s="54">
        <f t="shared" si="2"/>
        <v>12.76</v>
      </c>
      <c r="AG58" s="55">
        <v>2570</v>
      </c>
      <c r="AH58" s="54" t="s">
        <v>59</v>
      </c>
    </row>
    <row r="59" spans="1:34" x14ac:dyDescent="0.2">
      <c r="A59" s="52">
        <v>56</v>
      </c>
      <c r="B59" s="52" t="s">
        <v>26</v>
      </c>
      <c r="C59" s="52" t="s">
        <v>27</v>
      </c>
      <c r="D59" s="52" t="s">
        <v>28</v>
      </c>
      <c r="E59" s="52" t="s">
        <v>274</v>
      </c>
      <c r="F59" s="53" t="s">
        <v>275</v>
      </c>
      <c r="G59" s="54">
        <v>9</v>
      </c>
      <c r="H59" s="55" t="s">
        <v>56</v>
      </c>
      <c r="I59" s="55">
        <v>2570</v>
      </c>
      <c r="J59" s="56">
        <v>46295</v>
      </c>
      <c r="K59" s="56">
        <v>46455</v>
      </c>
      <c r="L59" s="55" t="s">
        <v>133</v>
      </c>
      <c r="M59" s="55" t="s">
        <v>35</v>
      </c>
      <c r="N59" s="62" t="s">
        <v>36</v>
      </c>
      <c r="O59" s="63">
        <f t="shared" si="3"/>
        <v>769499.99999999988</v>
      </c>
      <c r="P59" s="63">
        <f t="shared" si="4"/>
        <v>497940</v>
      </c>
      <c r="Q59" s="54" t="s">
        <v>787</v>
      </c>
      <c r="R59" s="30" t="s">
        <v>276</v>
      </c>
      <c r="S59" s="30" t="s">
        <v>277</v>
      </c>
      <c r="T59" s="54" t="s">
        <v>53</v>
      </c>
      <c r="U59" s="54"/>
      <c r="V59" s="54"/>
      <c r="W59" s="54">
        <f>AF59</f>
        <v>9.8999999999999986</v>
      </c>
      <c r="X59" s="54"/>
      <c r="Y59" s="54"/>
      <c r="Z59" s="72" cm="1">
        <f t="array" ref="Z59">_xlfn.LET(
_xlpm.a,IF(ISNUMBER($U59),$U59,IFERROR(_xlfn.NUMBERVALUE(TRIM($U59)),0)),
_xlpm.b,IF(ISNUMBER($V59),$V59,IFERROR(_xlfn.NUMBERVALUE(TRIM($V59)),0)),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59" s="72" cm="1">
        <f t="array" ref="AA59">_xlfn.IFS($W59=0,0,AND($W59&gt;0,$W59&lt;=0.5),2,AND($W59&gt;0.5,$W59&lt;=1),3,AND($W59&gt;1,$W59&lt;=1.5),4,AND($W59&gt;1.5,$W59&lt;=2),5,AND($W59&gt;2,$W59&lt;=3),6,AND($W59&gt;3,$W59&lt;=4),7,$W59&gt;4,8)</f>
        <v>8</v>
      </c>
      <c r="AB59" s="72" cm="1">
        <f t="array" ref="AB59">_xlfn.IFS($X59=0,0,AND($X59&gt;0,$X59&lt;=0.5),2,AND($X59&gt;0.5,$X59&lt;=1),3,AND($X59&gt;1,$X59&lt;=1.5),4,AND($X59&gt;1.5,$X59&lt;=2),5,AND($X59&gt;2,$X59&lt;=3),6,AND($X59&gt;3,$X59&lt;=4),7,$X59&gt;4,8)</f>
        <v>0</v>
      </c>
      <c r="AC59" s="72" cm="1">
        <f t="array" ref="AC59">_xlfn.IFS($Y59=0,0,AND($Y59&gt;0,$Y59&lt;=0.5),2,AND($Y59&gt;0.5,$Y59&lt;=1),3,AND($Y59&gt;1,$Y59&lt;=1.5),4,AND($Y59&gt;1.5,$Y59&lt;=2),5,AND($Y59&gt;2,$Y59&lt;=3),6,AND($Y59&gt;3,$Y59&lt;=4),7,$Y59&gt;4,8)</f>
        <v>0</v>
      </c>
      <c r="AD59" s="54">
        <v>8.5499999999999989</v>
      </c>
      <c r="AE59" s="54">
        <v>1.3499999999999999</v>
      </c>
      <c r="AF59" s="54">
        <f t="shared" si="2"/>
        <v>9.8999999999999986</v>
      </c>
      <c r="AG59" s="55">
        <v>2570</v>
      </c>
      <c r="AH59" s="54" t="s">
        <v>59</v>
      </c>
    </row>
    <row r="60" spans="1:34" x14ac:dyDescent="0.2">
      <c r="A60" s="52">
        <v>57</v>
      </c>
      <c r="B60" s="52" t="s">
        <v>26</v>
      </c>
      <c r="C60" s="52" t="s">
        <v>27</v>
      </c>
      <c r="D60" s="52" t="s">
        <v>28</v>
      </c>
      <c r="E60" s="52" t="s">
        <v>278</v>
      </c>
      <c r="F60" s="53" t="s">
        <v>279</v>
      </c>
      <c r="G60" s="54">
        <v>9.8000000000000007</v>
      </c>
      <c r="H60" s="55" t="s">
        <v>118</v>
      </c>
      <c r="I60" s="55">
        <v>2570</v>
      </c>
      <c r="J60" s="56">
        <v>46325</v>
      </c>
      <c r="K60" s="56">
        <v>46461</v>
      </c>
      <c r="L60" s="55" t="s">
        <v>133</v>
      </c>
      <c r="M60" s="55" t="s">
        <v>35</v>
      </c>
      <c r="N60" s="62" t="s">
        <v>36</v>
      </c>
      <c r="O60" s="63">
        <f t="shared" si="3"/>
        <v>1000825</v>
      </c>
      <c r="P60" s="63">
        <f t="shared" si="4"/>
        <v>544260</v>
      </c>
      <c r="Q60" s="54" t="s">
        <v>787</v>
      </c>
      <c r="R60" s="30" t="s">
        <v>280</v>
      </c>
      <c r="S60" s="30" t="s">
        <v>281</v>
      </c>
      <c r="T60" s="54" t="s">
        <v>40</v>
      </c>
      <c r="U60" s="54"/>
      <c r="V60" s="54"/>
      <c r="W60" s="54"/>
      <c r="X60" s="54">
        <f t="shared" ref="X60:X65" si="5">AF60</f>
        <v>10.780000000000001</v>
      </c>
      <c r="Y60" s="54"/>
      <c r="Z60" s="72" cm="1">
        <f t="array" ref="Z60">_xlfn.LET(
_xlpm.a,IF(ISNUMBER($U60),$U60,IFERROR(_xlfn.NUMBERVALUE(TRIM($U60)),0)),
_xlpm.b,IF(ISNUMBER($V60),$V60,IFERROR(_xlfn.NUMBERVALUE(TRIM($V60)),0)),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60" s="72" cm="1">
        <f t="array" ref="AA60">_xlfn.IFS($W60=0,0,AND($W60&gt;0,$W60&lt;=0.5),2,AND($W60&gt;0.5,$W60&lt;=1),3,AND($W60&gt;1,$W60&lt;=1.5),4,AND($W60&gt;1.5,$W60&lt;=2),5,AND($W60&gt;2,$W60&lt;=3),6,AND($W60&gt;3,$W60&lt;=4),7,$W60&gt;4,8)</f>
        <v>0</v>
      </c>
      <c r="AB60" s="72" cm="1">
        <f t="array" ref="AB60">_xlfn.IFS($X60=0,0,AND($X60&gt;0,$X60&lt;=0.5),2,AND($X60&gt;0.5,$X60&lt;=1),3,AND($X60&gt;1,$X60&lt;=1.5),4,AND($X60&gt;1.5,$X60&lt;=2),5,AND($X60&gt;2,$X60&lt;=3),6,AND($X60&gt;3,$X60&lt;=4),7,$X60&gt;4,8)</f>
        <v>8</v>
      </c>
      <c r="AC60" s="72" cm="1">
        <f t="array" ref="AC60">_xlfn.IFS($Y60=0,0,AND($Y60&gt;0,$Y60&lt;=0.5),2,AND($Y60&gt;0.5,$Y60&lt;=1),3,AND($Y60&gt;1,$Y60&lt;=1.5),4,AND($Y60&gt;1.5,$Y60&lt;=2),5,AND($Y60&gt;2,$Y60&lt;=3),6,AND($Y60&gt;3,$Y60&lt;=4),7,$Y60&gt;4,8)</f>
        <v>0</v>
      </c>
      <c r="AD60" s="54">
        <v>9.31</v>
      </c>
      <c r="AE60" s="54">
        <v>1.47</v>
      </c>
      <c r="AF60" s="54">
        <f t="shared" si="2"/>
        <v>10.780000000000001</v>
      </c>
      <c r="AG60" s="55">
        <v>2570</v>
      </c>
      <c r="AH60" s="54" t="s">
        <v>41</v>
      </c>
    </row>
    <row r="61" spans="1:34" x14ac:dyDescent="0.2">
      <c r="A61" s="52">
        <v>58</v>
      </c>
      <c r="B61" s="52" t="s">
        <v>26</v>
      </c>
      <c r="C61" s="52" t="s">
        <v>27</v>
      </c>
      <c r="D61" s="52" t="s">
        <v>28</v>
      </c>
      <c r="E61" s="52" t="s">
        <v>282</v>
      </c>
      <c r="F61" s="53" t="s">
        <v>283</v>
      </c>
      <c r="G61" s="54">
        <v>12</v>
      </c>
      <c r="H61" s="55" t="s">
        <v>118</v>
      </c>
      <c r="I61" s="55">
        <v>2570</v>
      </c>
      <c r="J61" s="56">
        <v>46326</v>
      </c>
      <c r="K61" s="56">
        <v>46470</v>
      </c>
      <c r="L61" s="55" t="s">
        <v>133</v>
      </c>
      <c r="M61" s="55" t="s">
        <v>35</v>
      </c>
      <c r="N61" s="62" t="s">
        <v>36</v>
      </c>
      <c r="O61" s="63">
        <f t="shared" si="3"/>
        <v>1225499.9999999998</v>
      </c>
      <c r="P61" s="63">
        <f t="shared" si="4"/>
        <v>660060</v>
      </c>
      <c r="Q61" s="54" t="s">
        <v>787</v>
      </c>
      <c r="R61" s="30" t="s">
        <v>284</v>
      </c>
      <c r="S61" s="30" t="s">
        <v>285</v>
      </c>
      <c r="T61" s="54" t="s">
        <v>40</v>
      </c>
      <c r="U61" s="54"/>
      <c r="V61" s="54"/>
      <c r="W61" s="54"/>
      <c r="X61" s="54">
        <f t="shared" si="5"/>
        <v>13.2</v>
      </c>
      <c r="Y61" s="54"/>
      <c r="Z61" s="72" cm="1">
        <f t="array" ref="Z61">_xlfn.LET(
_xlpm.a,IF(ISNUMBER($U61),$U61,IFERROR(_xlfn.NUMBERVALUE(TRIM($U61)),0)),
_xlpm.b,IF(ISNUMBER($V61),$V61,IFERROR(_xlfn.NUMBERVALUE(TRIM($V61)),0)),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61" s="72" cm="1">
        <f t="array" ref="AA61">_xlfn.IFS($W61=0,0,AND($W61&gt;0,$W61&lt;=0.5),2,AND($W61&gt;0.5,$W61&lt;=1),3,AND($W61&gt;1,$W61&lt;=1.5),4,AND($W61&gt;1.5,$W61&lt;=2),5,AND($W61&gt;2,$W61&lt;=3),6,AND($W61&gt;3,$W61&lt;=4),7,$W61&gt;4,8)</f>
        <v>0</v>
      </c>
      <c r="AB61" s="72" cm="1">
        <f t="array" ref="AB61">_xlfn.IFS($X61=0,0,AND($X61&gt;0,$X61&lt;=0.5),2,AND($X61&gt;0.5,$X61&lt;=1),3,AND($X61&gt;1,$X61&lt;=1.5),4,AND($X61&gt;1.5,$X61&lt;=2),5,AND($X61&gt;2,$X61&lt;=3),6,AND($X61&gt;3,$X61&lt;=4),7,$X61&gt;4,8)</f>
        <v>8</v>
      </c>
      <c r="AC61" s="72" cm="1">
        <f t="array" ref="AC61">_xlfn.IFS($Y61=0,0,AND($Y61&gt;0,$Y61&lt;=0.5),2,AND($Y61&gt;0.5,$Y61&lt;=1),3,AND($Y61&gt;1,$Y61&lt;=1.5),4,AND($Y61&gt;1.5,$Y61&lt;=2),5,AND($Y61&gt;2,$Y61&lt;=3),6,AND($Y61&gt;3,$Y61&lt;=4),7,$Y61&gt;4,8)</f>
        <v>0</v>
      </c>
      <c r="AD61" s="54">
        <v>11.399999999999999</v>
      </c>
      <c r="AE61" s="54">
        <v>1.7999999999999998</v>
      </c>
      <c r="AF61" s="54">
        <f t="shared" si="2"/>
        <v>13.2</v>
      </c>
      <c r="AG61" s="55">
        <v>2570</v>
      </c>
      <c r="AH61" s="54" t="s">
        <v>47</v>
      </c>
    </row>
    <row r="62" spans="1:34" x14ac:dyDescent="0.2">
      <c r="A62" s="52">
        <v>59</v>
      </c>
      <c r="B62" s="52" t="s">
        <v>26</v>
      </c>
      <c r="C62" s="52" t="s">
        <v>122</v>
      </c>
      <c r="D62" s="52" t="s">
        <v>28</v>
      </c>
      <c r="E62" s="52" t="s">
        <v>286</v>
      </c>
      <c r="F62" s="53" t="s">
        <v>287</v>
      </c>
      <c r="G62" s="54">
        <v>11.4</v>
      </c>
      <c r="H62" s="55" t="s">
        <v>56</v>
      </c>
      <c r="I62" s="55">
        <v>2570</v>
      </c>
      <c r="J62" s="56">
        <v>46326</v>
      </c>
      <c r="K62" s="56">
        <v>46477</v>
      </c>
      <c r="L62" s="55" t="s">
        <v>133</v>
      </c>
      <c r="M62" s="55" t="s">
        <v>35</v>
      </c>
      <c r="N62" s="62" t="s">
        <v>36</v>
      </c>
      <c r="O62" s="63">
        <f t="shared" si="3"/>
        <v>1164225</v>
      </c>
      <c r="P62" s="63">
        <f t="shared" si="4"/>
        <v>631110</v>
      </c>
      <c r="Q62" s="54" t="s">
        <v>787</v>
      </c>
      <c r="R62" s="30" t="s">
        <v>288</v>
      </c>
      <c r="S62" s="30" t="s">
        <v>289</v>
      </c>
      <c r="T62" s="54" t="s">
        <v>40</v>
      </c>
      <c r="U62" s="54"/>
      <c r="V62" s="54"/>
      <c r="W62" s="54"/>
      <c r="X62" s="54">
        <f t="shared" si="5"/>
        <v>12.54</v>
      </c>
      <c r="Y62" s="54"/>
      <c r="Z62" s="72" cm="1">
        <f t="array" ref="Z62">_xlfn.LET(
_xlpm.a,IF(ISNUMBER($U62),$U62,IFERROR(_xlfn.NUMBERVALUE(TRIM($U62)),0)),
_xlpm.b,IF(ISNUMBER($V62),$V62,IFERROR(_xlfn.NUMBERVALUE(TRIM($V62)),0)),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62" s="72" cm="1">
        <f t="array" ref="AA62">_xlfn.IFS($W62=0,0,AND($W62&gt;0,$W62&lt;=0.5),2,AND($W62&gt;0.5,$W62&lt;=1),3,AND($W62&gt;1,$W62&lt;=1.5),4,AND($W62&gt;1.5,$W62&lt;=2),5,AND($W62&gt;2,$W62&lt;=3),6,AND($W62&gt;3,$W62&lt;=4),7,$W62&gt;4,8)</f>
        <v>0</v>
      </c>
      <c r="AB62" s="72" cm="1">
        <f t="array" ref="AB62">_xlfn.IFS($X62=0,0,AND($X62&gt;0,$X62&lt;=0.5),2,AND($X62&gt;0.5,$X62&lt;=1),3,AND($X62&gt;1,$X62&lt;=1.5),4,AND($X62&gt;1.5,$X62&lt;=2),5,AND($X62&gt;2,$X62&lt;=3),6,AND($X62&gt;3,$X62&lt;=4),7,$X62&gt;4,8)</f>
        <v>8</v>
      </c>
      <c r="AC62" s="72" cm="1">
        <f t="array" ref="AC62">_xlfn.IFS($Y62=0,0,AND($Y62&gt;0,$Y62&lt;=0.5),2,AND($Y62&gt;0.5,$Y62&lt;=1),3,AND($Y62&gt;1,$Y62&lt;=1.5),4,AND($Y62&gt;1.5,$Y62&lt;=2),5,AND($Y62&gt;2,$Y62&lt;=3),6,AND($Y62&gt;3,$Y62&lt;=4),7,$Y62&gt;4,8)</f>
        <v>0</v>
      </c>
      <c r="AD62" s="54">
        <v>10.83</v>
      </c>
      <c r="AE62" s="54">
        <v>1.71</v>
      </c>
      <c r="AF62" s="54">
        <f t="shared" si="2"/>
        <v>12.54</v>
      </c>
      <c r="AG62" s="55">
        <v>2570</v>
      </c>
      <c r="AH62" s="54" t="s">
        <v>59</v>
      </c>
    </row>
    <row r="63" spans="1:34" x14ac:dyDescent="0.2">
      <c r="A63" s="52">
        <v>60</v>
      </c>
      <c r="B63" s="52" t="s">
        <v>26</v>
      </c>
      <c r="C63" s="52" t="s">
        <v>27</v>
      </c>
      <c r="D63" s="52" t="s">
        <v>28</v>
      </c>
      <c r="E63" s="52" t="s">
        <v>290</v>
      </c>
      <c r="F63" s="53" t="s">
        <v>291</v>
      </c>
      <c r="G63" s="54">
        <v>2.2000000000000002</v>
      </c>
      <c r="H63" s="55" t="s">
        <v>31</v>
      </c>
      <c r="I63" s="55">
        <v>2570</v>
      </c>
      <c r="J63" s="56">
        <v>46387</v>
      </c>
      <c r="K63" s="56">
        <v>46494</v>
      </c>
      <c r="L63" s="55" t="s">
        <v>133</v>
      </c>
      <c r="M63" s="55" t="s">
        <v>35</v>
      </c>
      <c r="N63" s="62" t="s">
        <v>36</v>
      </c>
      <c r="O63" s="63">
        <f t="shared" si="3"/>
        <v>224674.99999999997</v>
      </c>
      <c r="P63" s="63">
        <f t="shared" si="4"/>
        <v>121590</v>
      </c>
      <c r="Q63" s="54" t="s">
        <v>787</v>
      </c>
      <c r="R63" s="30" t="s">
        <v>292</v>
      </c>
      <c r="S63" s="30" t="s">
        <v>293</v>
      </c>
      <c r="T63" s="54" t="s">
        <v>40</v>
      </c>
      <c r="U63" s="54"/>
      <c r="V63" s="54"/>
      <c r="W63" s="54"/>
      <c r="X63" s="54">
        <f t="shared" si="5"/>
        <v>2.42</v>
      </c>
      <c r="Y63" s="54"/>
      <c r="Z63" s="72" cm="1">
        <f t="array" ref="Z63">_xlfn.LET(
_xlpm.a,IF(ISNUMBER($U63),$U63,IFERROR(_xlfn.NUMBERVALUE(TRIM($U63)),0)),
_xlpm.b,IF(ISNUMBER($V63),$V63,IFERROR(_xlfn.NUMBERVALUE(TRIM($V63)),0)),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63" s="72" cm="1">
        <f t="array" ref="AA63">_xlfn.IFS($W63=0,0,AND($W63&gt;0,$W63&lt;=0.5),2,AND($W63&gt;0.5,$W63&lt;=1),3,AND($W63&gt;1,$W63&lt;=1.5),4,AND($W63&gt;1.5,$W63&lt;=2),5,AND($W63&gt;2,$W63&lt;=3),6,AND($W63&gt;3,$W63&lt;=4),7,$W63&gt;4,8)</f>
        <v>0</v>
      </c>
      <c r="AB63" s="72" cm="1">
        <f t="array" ref="AB63">_xlfn.IFS($X63=0,0,AND($X63&gt;0,$X63&lt;=0.5),2,AND($X63&gt;0.5,$X63&lt;=1),3,AND($X63&gt;1,$X63&lt;=1.5),4,AND($X63&gt;1.5,$X63&lt;=2),5,AND($X63&gt;2,$X63&lt;=3),6,AND($X63&gt;3,$X63&lt;=4),7,$X63&gt;4,8)</f>
        <v>6</v>
      </c>
      <c r="AC63" s="72" cm="1">
        <f t="array" ref="AC63">_xlfn.IFS($Y63=0,0,AND($Y63&gt;0,$Y63&lt;=0.5),2,AND($Y63&gt;0.5,$Y63&lt;=1),3,AND($Y63&gt;1,$Y63&lt;=1.5),4,AND($Y63&gt;1.5,$Y63&lt;=2),5,AND($Y63&gt;2,$Y63&lt;=3),6,AND($Y63&gt;3,$Y63&lt;=4),7,$Y63&gt;4,8)</f>
        <v>0</v>
      </c>
      <c r="AD63" s="54">
        <v>2.09</v>
      </c>
      <c r="AE63" s="54">
        <v>0.33</v>
      </c>
      <c r="AF63" s="54">
        <f t="shared" si="2"/>
        <v>2.42</v>
      </c>
      <c r="AG63" s="55">
        <v>2570</v>
      </c>
      <c r="AH63" s="54" t="s">
        <v>59</v>
      </c>
    </row>
    <row r="64" spans="1:34" x14ac:dyDescent="0.2">
      <c r="A64" s="52">
        <v>61</v>
      </c>
      <c r="B64" s="52" t="s">
        <v>26</v>
      </c>
      <c r="C64" s="52" t="s">
        <v>27</v>
      </c>
      <c r="D64" s="52" t="s">
        <v>48</v>
      </c>
      <c r="E64" s="52" t="s">
        <v>294</v>
      </c>
      <c r="F64" s="53" t="s">
        <v>295</v>
      </c>
      <c r="G64" s="54">
        <v>11.8</v>
      </c>
      <c r="H64" s="55" t="s">
        <v>56</v>
      </c>
      <c r="I64" s="55">
        <v>2570</v>
      </c>
      <c r="J64" s="56">
        <v>46387</v>
      </c>
      <c r="K64" s="56">
        <v>46497</v>
      </c>
      <c r="L64" s="55" t="s">
        <v>133</v>
      </c>
      <c r="M64" s="55" t="s">
        <v>35</v>
      </c>
      <c r="N64" s="62" t="s">
        <v>36</v>
      </c>
      <c r="O64" s="63">
        <f t="shared" si="3"/>
        <v>1205075</v>
      </c>
      <c r="P64" s="63">
        <f t="shared" si="4"/>
        <v>654269.99999999988</v>
      </c>
      <c r="Q64" s="54" t="s">
        <v>787</v>
      </c>
      <c r="R64" s="30" t="s">
        <v>296</v>
      </c>
      <c r="S64" s="30" t="s">
        <v>297</v>
      </c>
      <c r="T64" s="54" t="s">
        <v>40</v>
      </c>
      <c r="U64" s="54"/>
      <c r="V64" s="54"/>
      <c r="W64" s="54"/>
      <c r="X64" s="54">
        <f t="shared" si="5"/>
        <v>12.98</v>
      </c>
      <c r="Y64" s="54"/>
      <c r="Z64" s="72" cm="1">
        <f t="array" ref="Z64">_xlfn.LET(
_xlpm.a,IF(ISNUMBER($U64),$U64,IFERROR(_xlfn.NUMBERVALUE(TRIM($U64)),0)),
_xlpm.b,IF(ISNUMBER($V64),$V64,IFERROR(_xlfn.NUMBERVALUE(TRIM($V64)),0)),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64" s="72" cm="1">
        <f t="array" ref="AA64">_xlfn.IFS($W64=0,0,AND($W64&gt;0,$W64&lt;=0.5),2,AND($W64&gt;0.5,$W64&lt;=1),3,AND($W64&gt;1,$W64&lt;=1.5),4,AND($W64&gt;1.5,$W64&lt;=2),5,AND($W64&gt;2,$W64&lt;=3),6,AND($W64&gt;3,$W64&lt;=4),7,$W64&gt;4,8)</f>
        <v>0</v>
      </c>
      <c r="AB64" s="72" cm="1">
        <f t="array" ref="AB64">_xlfn.IFS($X64=0,0,AND($X64&gt;0,$X64&lt;=0.5),2,AND($X64&gt;0.5,$X64&lt;=1),3,AND($X64&gt;1,$X64&lt;=1.5),4,AND($X64&gt;1.5,$X64&lt;=2),5,AND($X64&gt;2,$X64&lt;=3),6,AND($X64&gt;3,$X64&lt;=4),7,$X64&gt;4,8)</f>
        <v>8</v>
      </c>
      <c r="AC64" s="72" cm="1">
        <f t="array" ref="AC64">_xlfn.IFS($Y64=0,0,AND($Y64&gt;0,$Y64&lt;=0.5),2,AND($Y64&gt;0.5,$Y64&lt;=1),3,AND($Y64&gt;1,$Y64&lt;=1.5),4,AND($Y64&gt;1.5,$Y64&lt;=2),5,AND($Y64&gt;2,$Y64&lt;=3),6,AND($Y64&gt;3,$Y64&lt;=4),7,$Y64&gt;4,8)</f>
        <v>0</v>
      </c>
      <c r="AD64" s="54">
        <v>11.21</v>
      </c>
      <c r="AE64" s="54">
        <v>1.77</v>
      </c>
      <c r="AF64" s="54">
        <f t="shared" si="2"/>
        <v>12.98</v>
      </c>
      <c r="AG64" s="55">
        <v>2570</v>
      </c>
      <c r="AH64" s="54" t="s">
        <v>41</v>
      </c>
    </row>
    <row r="65" spans="1:34" x14ac:dyDescent="0.2">
      <c r="A65" s="52">
        <v>62</v>
      </c>
      <c r="B65" s="52" t="s">
        <v>26</v>
      </c>
      <c r="C65" s="52" t="s">
        <v>122</v>
      </c>
      <c r="D65" s="52" t="s">
        <v>28</v>
      </c>
      <c r="E65" s="52" t="s">
        <v>298</v>
      </c>
      <c r="F65" s="53" t="s">
        <v>299</v>
      </c>
      <c r="G65" s="54">
        <v>9.6</v>
      </c>
      <c r="H65" s="55" t="s">
        <v>56</v>
      </c>
      <c r="I65" s="55">
        <v>2570</v>
      </c>
      <c r="J65" s="56">
        <v>46326</v>
      </c>
      <c r="K65" s="56">
        <v>46507</v>
      </c>
      <c r="L65" s="55" t="s">
        <v>133</v>
      </c>
      <c r="M65" s="55" t="s">
        <v>35</v>
      </c>
      <c r="N65" s="62" t="s">
        <v>71</v>
      </c>
      <c r="O65" s="63">
        <f t="shared" si="3"/>
        <v>1960799.9999999998</v>
      </c>
      <c r="P65" s="63">
        <f t="shared" si="4"/>
        <v>1065360</v>
      </c>
      <c r="Q65" s="54" t="s">
        <v>787</v>
      </c>
      <c r="R65" s="30" t="s">
        <v>300</v>
      </c>
      <c r="S65" s="30" t="s">
        <v>301</v>
      </c>
      <c r="T65" s="54" t="s">
        <v>40</v>
      </c>
      <c r="U65" s="54"/>
      <c r="V65" s="54"/>
      <c r="W65" s="54"/>
      <c r="X65" s="54">
        <f t="shared" si="5"/>
        <v>10.559999999999999</v>
      </c>
      <c r="Y65" s="54"/>
      <c r="Z65" s="72" cm="1">
        <f t="array" ref="Z65">_xlfn.LET(
_xlpm.a,IF(ISNUMBER($U65),$U65,IFERROR(_xlfn.NUMBERVALUE(TRIM($U65)),0)),
_xlpm.b,IF(ISNUMBER($V65),$V65,IFERROR(_xlfn.NUMBERVALUE(TRIM($V65)),0)),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65" s="72" cm="1">
        <f t="array" ref="AA65">_xlfn.IFS($W65=0,0,AND($W65&gt;0,$W65&lt;=0.5),2,AND($W65&gt;0.5,$W65&lt;=1),3,AND($W65&gt;1,$W65&lt;=1.5),4,AND($W65&gt;1.5,$W65&lt;=2),5,AND($W65&gt;2,$W65&lt;=3),6,AND($W65&gt;3,$W65&lt;=4),7,$W65&gt;4,8)</f>
        <v>0</v>
      </c>
      <c r="AB65" s="72" cm="1">
        <f t="array" ref="AB65">_xlfn.IFS($X65=0,0,AND($X65&gt;0,$X65&lt;=0.5),2,AND($X65&gt;0.5,$X65&lt;=1),3,AND($X65&gt;1,$X65&lt;=1.5),4,AND($X65&gt;1.5,$X65&lt;=2),5,AND($X65&gt;2,$X65&lt;=3),6,AND($X65&gt;3,$X65&lt;=4),7,$X65&gt;4,8)</f>
        <v>8</v>
      </c>
      <c r="AC65" s="72" cm="1">
        <f t="array" ref="AC65">_xlfn.IFS($Y65=0,0,AND($Y65&gt;0,$Y65&lt;=0.5),2,AND($Y65&gt;0.5,$Y65&lt;=1),3,AND($Y65&gt;1,$Y65&lt;=1.5),4,AND($Y65&gt;1.5,$Y65&lt;=2),5,AND($Y65&gt;2,$Y65&lt;=3),6,AND($Y65&gt;3,$Y65&lt;=4),7,$Y65&gt;4,8)</f>
        <v>0</v>
      </c>
      <c r="AD65" s="54">
        <v>9.1199999999999992</v>
      </c>
      <c r="AE65" s="54">
        <v>1.44</v>
      </c>
      <c r="AF65" s="54">
        <f t="shared" si="2"/>
        <v>10.559999999999999</v>
      </c>
      <c r="AG65" s="55">
        <v>2570</v>
      </c>
      <c r="AH65" s="54" t="s">
        <v>47</v>
      </c>
    </row>
    <row r="66" spans="1:34" x14ac:dyDescent="0.2">
      <c r="A66" s="52">
        <v>63</v>
      </c>
      <c r="B66" s="52" t="s">
        <v>26</v>
      </c>
      <c r="C66" s="52" t="s">
        <v>27</v>
      </c>
      <c r="D66" s="52" t="s">
        <v>28</v>
      </c>
      <c r="E66" s="52" t="s">
        <v>302</v>
      </c>
      <c r="F66" s="53" t="s">
        <v>303</v>
      </c>
      <c r="G66" s="54">
        <v>4</v>
      </c>
      <c r="H66" s="55" t="s">
        <v>44</v>
      </c>
      <c r="I66" s="55">
        <v>2570</v>
      </c>
      <c r="J66" s="56">
        <v>46326</v>
      </c>
      <c r="K66" s="56">
        <v>46507</v>
      </c>
      <c r="L66" s="55" t="s">
        <v>133</v>
      </c>
      <c r="M66" s="55" t="s">
        <v>35</v>
      </c>
      <c r="N66" s="62" t="s">
        <v>36</v>
      </c>
      <c r="O66" s="63">
        <f t="shared" si="3"/>
        <v>342000</v>
      </c>
      <c r="P66" s="63">
        <f t="shared" si="4"/>
        <v>220020</v>
      </c>
      <c r="Q66" s="54" t="s">
        <v>787</v>
      </c>
      <c r="R66" s="30" t="s">
        <v>304</v>
      </c>
      <c r="S66" s="30" t="s">
        <v>305</v>
      </c>
      <c r="T66" s="54" t="s">
        <v>53</v>
      </c>
      <c r="U66" s="54"/>
      <c r="V66" s="54"/>
      <c r="W66" s="54">
        <f>AF66</f>
        <v>4.3999999999999995</v>
      </c>
      <c r="X66" s="54"/>
      <c r="Y66" s="54"/>
      <c r="Z66" s="72" cm="1">
        <f t="array" ref="Z66">_xlfn.LET(
_xlpm.a,IF(ISNUMBER($U66),$U66,IFERROR(_xlfn.NUMBERVALUE(TRIM($U66)),0)),
_xlpm.b,IF(ISNUMBER($V66),$V66,IFERROR(_xlfn.NUMBERVALUE(TRIM($V66)),0)),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66" s="72" cm="1">
        <f t="array" ref="AA66">_xlfn.IFS($W66=0,0,AND($W66&gt;0,$W66&lt;=0.5),2,AND($W66&gt;0.5,$W66&lt;=1),3,AND($W66&gt;1,$W66&lt;=1.5),4,AND($W66&gt;1.5,$W66&lt;=2),5,AND($W66&gt;2,$W66&lt;=3),6,AND($W66&gt;3,$W66&lt;=4),7,$W66&gt;4,8)</f>
        <v>8</v>
      </c>
      <c r="AB66" s="72" cm="1">
        <f t="array" ref="AB66">_xlfn.IFS($X66=0,0,AND($X66&gt;0,$X66&lt;=0.5),2,AND($X66&gt;0.5,$X66&lt;=1),3,AND($X66&gt;1,$X66&lt;=1.5),4,AND($X66&gt;1.5,$X66&lt;=2),5,AND($X66&gt;2,$X66&lt;=3),6,AND($X66&gt;3,$X66&lt;=4),7,$X66&gt;4,8)</f>
        <v>0</v>
      </c>
      <c r="AC66" s="72" cm="1">
        <f t="array" ref="AC66">_xlfn.IFS($Y66=0,0,AND($Y66&gt;0,$Y66&lt;=0.5),2,AND($Y66&gt;0.5,$Y66&lt;=1),3,AND($Y66&gt;1,$Y66&lt;=1.5),4,AND($Y66&gt;1.5,$Y66&lt;=2),5,AND($Y66&gt;2,$Y66&lt;=3),6,AND($Y66&gt;3,$Y66&lt;=4),7,$Y66&gt;4,8)</f>
        <v>0</v>
      </c>
      <c r="AD66" s="54">
        <v>3.8</v>
      </c>
      <c r="AE66" s="54">
        <v>0.6</v>
      </c>
      <c r="AF66" s="54">
        <f t="shared" si="2"/>
        <v>4.3999999999999995</v>
      </c>
      <c r="AG66" s="55">
        <v>2570</v>
      </c>
      <c r="AH66" s="54" t="s">
        <v>47</v>
      </c>
    </row>
    <row r="67" spans="1:34" x14ac:dyDescent="0.2">
      <c r="A67" s="52">
        <v>64</v>
      </c>
      <c r="B67" s="52" t="s">
        <v>26</v>
      </c>
      <c r="C67" s="52" t="s">
        <v>27</v>
      </c>
      <c r="D67" s="52" t="s">
        <v>28</v>
      </c>
      <c r="E67" s="52" t="s">
        <v>306</v>
      </c>
      <c r="F67" s="53" t="s">
        <v>307</v>
      </c>
      <c r="G67" s="54">
        <v>7</v>
      </c>
      <c r="H67" s="55" t="s">
        <v>44</v>
      </c>
      <c r="I67" s="55">
        <v>2570</v>
      </c>
      <c r="J67" s="56">
        <v>46326</v>
      </c>
      <c r="K67" s="56">
        <v>46507</v>
      </c>
      <c r="L67" s="55" t="s">
        <v>133</v>
      </c>
      <c r="M67" s="55" t="s">
        <v>35</v>
      </c>
      <c r="N67" s="62" t="s">
        <v>36</v>
      </c>
      <c r="O67" s="63">
        <f t="shared" si="3"/>
        <v>598500</v>
      </c>
      <c r="P67" s="63">
        <f t="shared" si="4"/>
        <v>387929.99999999994</v>
      </c>
      <c r="Q67" s="54" t="s">
        <v>787</v>
      </c>
      <c r="R67" s="30" t="s">
        <v>308</v>
      </c>
      <c r="S67" s="30" t="s">
        <v>304</v>
      </c>
      <c r="T67" s="54" t="s">
        <v>53</v>
      </c>
      <c r="U67" s="54"/>
      <c r="V67" s="54"/>
      <c r="W67" s="54">
        <f>AF67</f>
        <v>7.6999999999999993</v>
      </c>
      <c r="X67" s="54"/>
      <c r="Y67" s="54"/>
      <c r="Z67" s="72" cm="1">
        <f t="array" ref="Z67">_xlfn.LET(
_xlpm.a,IF(ISNUMBER($U67),$U67,IFERROR(_xlfn.NUMBERVALUE(TRIM($U67)),0)),
_xlpm.b,IF(ISNUMBER($V67),$V67,IFERROR(_xlfn.NUMBERVALUE(TRIM($V67)),0)),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67" s="72" cm="1">
        <f t="array" ref="AA67">_xlfn.IFS($W67=0,0,AND($W67&gt;0,$W67&lt;=0.5),2,AND($W67&gt;0.5,$W67&lt;=1),3,AND($W67&gt;1,$W67&lt;=1.5),4,AND($W67&gt;1.5,$W67&lt;=2),5,AND($W67&gt;2,$W67&lt;=3),6,AND($W67&gt;3,$W67&lt;=4),7,$W67&gt;4,8)</f>
        <v>8</v>
      </c>
      <c r="AB67" s="72" cm="1">
        <f t="array" ref="AB67">_xlfn.IFS($X67=0,0,AND($X67&gt;0,$X67&lt;=0.5),2,AND($X67&gt;0.5,$X67&lt;=1),3,AND($X67&gt;1,$X67&lt;=1.5),4,AND($X67&gt;1.5,$X67&lt;=2),5,AND($X67&gt;2,$X67&lt;=3),6,AND($X67&gt;3,$X67&lt;=4),7,$X67&gt;4,8)</f>
        <v>0</v>
      </c>
      <c r="AC67" s="72" cm="1">
        <f t="array" ref="AC67">_xlfn.IFS($Y67=0,0,AND($Y67&gt;0,$Y67&lt;=0.5),2,AND($Y67&gt;0.5,$Y67&lt;=1),3,AND($Y67&gt;1,$Y67&lt;=1.5),4,AND($Y67&gt;1.5,$Y67&lt;=2),5,AND($Y67&gt;2,$Y67&lt;=3),6,AND($Y67&gt;3,$Y67&lt;=4),7,$Y67&gt;4,8)</f>
        <v>0</v>
      </c>
      <c r="AD67" s="54">
        <v>6.6499999999999995</v>
      </c>
      <c r="AE67" s="54">
        <v>1.05</v>
      </c>
      <c r="AF67" s="54">
        <f t="shared" si="2"/>
        <v>7.6999999999999993</v>
      </c>
      <c r="AG67" s="55">
        <v>2570</v>
      </c>
      <c r="AH67" s="54" t="s">
        <v>47</v>
      </c>
    </row>
    <row r="68" spans="1:34" x14ac:dyDescent="0.2">
      <c r="A68" s="52">
        <v>65</v>
      </c>
      <c r="B68" s="52" t="s">
        <v>26</v>
      </c>
      <c r="C68" s="52" t="s">
        <v>27</v>
      </c>
      <c r="D68" s="52" t="s">
        <v>28</v>
      </c>
      <c r="E68" s="52" t="s">
        <v>309</v>
      </c>
      <c r="F68" s="53" t="s">
        <v>310</v>
      </c>
      <c r="G68" s="54">
        <v>6.6</v>
      </c>
      <c r="H68" s="55" t="s">
        <v>44</v>
      </c>
      <c r="I68" s="55">
        <v>2570</v>
      </c>
      <c r="J68" s="56">
        <v>46387</v>
      </c>
      <c r="K68" s="56">
        <v>46512</v>
      </c>
      <c r="L68" s="55" t="s">
        <v>133</v>
      </c>
      <c r="M68" s="55" t="s">
        <v>35</v>
      </c>
      <c r="N68" s="62" t="s">
        <v>71</v>
      </c>
      <c r="O68" s="63">
        <f t="shared" si="3"/>
        <v>1128600</v>
      </c>
      <c r="P68" s="63">
        <f t="shared" si="4"/>
        <v>729540</v>
      </c>
      <c r="Q68" s="54" t="s">
        <v>787</v>
      </c>
      <c r="R68" s="30" t="s">
        <v>241</v>
      </c>
      <c r="S68" s="30" t="s">
        <v>311</v>
      </c>
      <c r="T68" s="54" t="s">
        <v>53</v>
      </c>
      <c r="U68" s="54"/>
      <c r="V68" s="54"/>
      <c r="W68" s="54">
        <f>AF68</f>
        <v>7.26</v>
      </c>
      <c r="X68" s="54"/>
      <c r="Y68" s="54"/>
      <c r="Z68" s="72" cm="1">
        <f t="array" ref="Z68">_xlfn.LET(
_xlpm.a,IF(ISNUMBER($U68),$U68,IFERROR(_xlfn.NUMBERVALUE(TRIM($U68)),0)),
_xlpm.b,IF(ISNUMBER($V68),$V68,IFERROR(_xlfn.NUMBERVALUE(TRIM($V68)),0)),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68" s="72" cm="1">
        <f t="array" ref="AA68">_xlfn.IFS($W68=0,0,AND($W68&gt;0,$W68&lt;=0.5),2,AND($W68&gt;0.5,$W68&lt;=1),3,AND($W68&gt;1,$W68&lt;=1.5),4,AND($W68&gt;1.5,$W68&lt;=2),5,AND($W68&gt;2,$W68&lt;=3),6,AND($W68&gt;3,$W68&lt;=4),7,$W68&gt;4,8)</f>
        <v>8</v>
      </c>
      <c r="AB68" s="72" cm="1">
        <f t="array" ref="AB68">_xlfn.IFS($X68=0,0,AND($X68&gt;0,$X68&lt;=0.5),2,AND($X68&gt;0.5,$X68&lt;=1),3,AND($X68&gt;1,$X68&lt;=1.5),4,AND($X68&gt;1.5,$X68&lt;=2),5,AND($X68&gt;2,$X68&lt;=3),6,AND($X68&gt;3,$X68&lt;=4),7,$X68&gt;4,8)</f>
        <v>0</v>
      </c>
      <c r="AC68" s="72" cm="1">
        <f t="array" ref="AC68">_xlfn.IFS($Y68=0,0,AND($Y68&gt;0,$Y68&lt;=0.5),2,AND($Y68&gt;0.5,$Y68&lt;=1),3,AND($Y68&gt;1,$Y68&lt;=1.5),4,AND($Y68&gt;1.5,$Y68&lt;=2),5,AND($Y68&gt;2,$Y68&lt;=3),6,AND($Y68&gt;3,$Y68&lt;=4),7,$Y68&gt;4,8)</f>
        <v>0</v>
      </c>
      <c r="AD68" s="54">
        <v>6.27</v>
      </c>
      <c r="AE68" s="54">
        <v>0.98999999999999988</v>
      </c>
      <c r="AF68" s="54">
        <f t="shared" ref="AF68:AF99" si="6">AD68+AE68</f>
        <v>7.26</v>
      </c>
      <c r="AG68" s="55">
        <v>2570</v>
      </c>
      <c r="AH68" s="54" t="s">
        <v>47</v>
      </c>
    </row>
    <row r="69" spans="1:34" x14ac:dyDescent="0.2">
      <c r="A69" s="52">
        <v>66</v>
      </c>
      <c r="B69" s="52" t="s">
        <v>26</v>
      </c>
      <c r="C69" s="52" t="s">
        <v>27</v>
      </c>
      <c r="D69" s="52" t="s">
        <v>28</v>
      </c>
      <c r="E69" s="52" t="s">
        <v>312</v>
      </c>
      <c r="F69" s="53" t="s">
        <v>313</v>
      </c>
      <c r="G69" s="54">
        <v>10</v>
      </c>
      <c r="H69" s="55" t="s">
        <v>44</v>
      </c>
      <c r="I69" s="55">
        <v>2570</v>
      </c>
      <c r="J69" s="56">
        <v>46387</v>
      </c>
      <c r="K69" s="56">
        <v>46524</v>
      </c>
      <c r="L69" s="55" t="s">
        <v>133</v>
      </c>
      <c r="M69" s="55" t="s">
        <v>35</v>
      </c>
      <c r="N69" s="62" t="s">
        <v>36</v>
      </c>
      <c r="O69" s="63">
        <f t="shared" si="3"/>
        <v>855000</v>
      </c>
      <c r="P69" s="63">
        <f t="shared" si="4"/>
        <v>550050</v>
      </c>
      <c r="Q69" s="54" t="s">
        <v>787</v>
      </c>
      <c r="R69" s="30" t="s">
        <v>314</v>
      </c>
      <c r="S69" s="30" t="s">
        <v>315</v>
      </c>
      <c r="T69" s="54" t="s">
        <v>53</v>
      </c>
      <c r="U69" s="54"/>
      <c r="V69" s="54"/>
      <c r="W69" s="54">
        <f>AF69</f>
        <v>11</v>
      </c>
      <c r="X69" s="54"/>
      <c r="Y69" s="54"/>
      <c r="Z69" s="72" cm="1">
        <f t="array" ref="Z69">_xlfn.LET(
_xlpm.a,IF(ISNUMBER($U69),$U69,IFERROR(_xlfn.NUMBERVALUE(TRIM($U69)),0)),
_xlpm.b,IF(ISNUMBER($V69),$V69,IFERROR(_xlfn.NUMBERVALUE(TRIM($V69)),0)),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69" s="72" cm="1">
        <f t="array" ref="AA69">_xlfn.IFS($W69=0,0,AND($W69&gt;0,$W69&lt;=0.5),2,AND($W69&gt;0.5,$W69&lt;=1),3,AND($W69&gt;1,$W69&lt;=1.5),4,AND($W69&gt;1.5,$W69&lt;=2),5,AND($W69&gt;2,$W69&lt;=3),6,AND($W69&gt;3,$W69&lt;=4),7,$W69&gt;4,8)</f>
        <v>8</v>
      </c>
      <c r="AB69" s="72" cm="1">
        <f t="array" ref="AB69">_xlfn.IFS($X69=0,0,AND($X69&gt;0,$X69&lt;=0.5),2,AND($X69&gt;0.5,$X69&lt;=1),3,AND($X69&gt;1,$X69&lt;=1.5),4,AND($X69&gt;1.5,$X69&lt;=2),5,AND($X69&gt;2,$X69&lt;=3),6,AND($X69&gt;3,$X69&lt;=4),7,$X69&gt;4,8)</f>
        <v>0</v>
      </c>
      <c r="AC69" s="72" cm="1">
        <f t="array" ref="AC69">_xlfn.IFS($Y69=0,0,AND($Y69&gt;0,$Y69&lt;=0.5),2,AND($Y69&gt;0.5,$Y69&lt;=1),3,AND($Y69&gt;1,$Y69&lt;=1.5),4,AND($Y69&gt;1.5,$Y69&lt;=2),5,AND($Y69&gt;2,$Y69&lt;=3),6,AND($Y69&gt;3,$Y69&lt;=4),7,$Y69&gt;4,8)</f>
        <v>0</v>
      </c>
      <c r="AD69" s="54">
        <v>9.5</v>
      </c>
      <c r="AE69" s="54">
        <v>1.5</v>
      </c>
      <c r="AF69" s="54">
        <f t="shared" si="6"/>
        <v>11</v>
      </c>
      <c r="AG69" s="55">
        <v>2570</v>
      </c>
      <c r="AH69" s="54" t="s">
        <v>41</v>
      </c>
    </row>
    <row r="70" spans="1:34" x14ac:dyDescent="0.2">
      <c r="A70" s="52">
        <v>67</v>
      </c>
      <c r="B70" s="52" t="s">
        <v>26</v>
      </c>
      <c r="C70" s="52" t="s">
        <v>27</v>
      </c>
      <c r="D70" s="52" t="s">
        <v>28</v>
      </c>
      <c r="E70" s="52" t="s">
        <v>316</v>
      </c>
      <c r="F70" s="53" t="s">
        <v>317</v>
      </c>
      <c r="G70" s="54">
        <v>5.4</v>
      </c>
      <c r="H70" s="55" t="s">
        <v>118</v>
      </c>
      <c r="I70" s="55">
        <v>2570</v>
      </c>
      <c r="J70" s="56">
        <v>46387</v>
      </c>
      <c r="K70" s="56">
        <v>46525</v>
      </c>
      <c r="L70" s="55" t="s">
        <v>133</v>
      </c>
      <c r="M70" s="55" t="s">
        <v>35</v>
      </c>
      <c r="N70" s="62" t="s">
        <v>71</v>
      </c>
      <c r="O70" s="63">
        <f t="shared" si="3"/>
        <v>1102950</v>
      </c>
      <c r="P70" s="63">
        <f t="shared" si="4"/>
        <v>602159.99999999988</v>
      </c>
      <c r="Q70" s="54" t="s">
        <v>787</v>
      </c>
      <c r="R70" s="30" t="s">
        <v>121</v>
      </c>
      <c r="S70" s="30" t="s">
        <v>318</v>
      </c>
      <c r="T70" s="54" t="s">
        <v>40</v>
      </c>
      <c r="U70" s="54"/>
      <c r="V70" s="54"/>
      <c r="W70" s="54"/>
      <c r="X70" s="54">
        <f>AF70</f>
        <v>5.9399999999999995</v>
      </c>
      <c r="Y70" s="54"/>
      <c r="Z70" s="72" cm="1">
        <f t="array" ref="Z70">_xlfn.LET(
_xlpm.a,IF(ISNUMBER($U70),$U70,IFERROR(_xlfn.NUMBERVALUE(TRIM($U70)),0)),
_xlpm.b,IF(ISNUMBER($V70),$V70,IFERROR(_xlfn.NUMBERVALUE(TRIM($V70)),0)),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70" s="72" cm="1">
        <f t="array" ref="AA70">_xlfn.IFS($W70=0,0,AND($W70&gt;0,$W70&lt;=0.5),2,AND($W70&gt;0.5,$W70&lt;=1),3,AND($W70&gt;1,$W70&lt;=1.5),4,AND($W70&gt;1.5,$W70&lt;=2),5,AND($W70&gt;2,$W70&lt;=3),6,AND($W70&gt;3,$W70&lt;=4),7,$W70&gt;4,8)</f>
        <v>0</v>
      </c>
      <c r="AB70" s="72" cm="1">
        <f t="array" ref="AB70">_xlfn.IFS($X70=0,0,AND($X70&gt;0,$X70&lt;=0.5),2,AND($X70&gt;0.5,$X70&lt;=1),3,AND($X70&gt;1,$X70&lt;=1.5),4,AND($X70&gt;1.5,$X70&lt;=2),5,AND($X70&gt;2,$X70&lt;=3),6,AND($X70&gt;3,$X70&lt;=4),7,$X70&gt;4,8)</f>
        <v>8</v>
      </c>
      <c r="AC70" s="72" cm="1">
        <f t="array" ref="AC70">_xlfn.IFS($Y70=0,0,AND($Y70&gt;0,$Y70&lt;=0.5),2,AND($Y70&gt;0.5,$Y70&lt;=1),3,AND($Y70&gt;1,$Y70&lt;=1.5),4,AND($Y70&gt;1.5,$Y70&lt;=2),5,AND($Y70&gt;2,$Y70&lt;=3),6,AND($Y70&gt;3,$Y70&lt;=4),7,$Y70&gt;4,8)</f>
        <v>0</v>
      </c>
      <c r="AD70" s="54">
        <v>5.13</v>
      </c>
      <c r="AE70" s="54">
        <v>0.81</v>
      </c>
      <c r="AF70" s="54">
        <f t="shared" si="6"/>
        <v>5.9399999999999995</v>
      </c>
      <c r="AG70" s="55">
        <v>2570</v>
      </c>
      <c r="AH70" s="54" t="s">
        <v>47</v>
      </c>
    </row>
    <row r="71" spans="1:34" x14ac:dyDescent="0.2">
      <c r="A71" s="52">
        <v>68</v>
      </c>
      <c r="B71" s="52" t="s">
        <v>26</v>
      </c>
      <c r="C71" s="52" t="s">
        <v>253</v>
      </c>
      <c r="D71" s="52" t="s">
        <v>28</v>
      </c>
      <c r="E71" s="52" t="s">
        <v>319</v>
      </c>
      <c r="F71" s="53" t="s">
        <v>320</v>
      </c>
      <c r="G71" s="54">
        <v>6</v>
      </c>
      <c r="H71" s="55" t="s">
        <v>56</v>
      </c>
      <c r="I71" s="55">
        <v>2570</v>
      </c>
      <c r="J71" s="56">
        <v>46387</v>
      </c>
      <c r="K71" s="56">
        <v>46526</v>
      </c>
      <c r="L71" s="55" t="s">
        <v>133</v>
      </c>
      <c r="M71" s="55" t="s">
        <v>35</v>
      </c>
      <c r="N71" s="62" t="s">
        <v>71</v>
      </c>
      <c r="O71" s="63">
        <f t="shared" si="3"/>
        <v>1225499.9999999998</v>
      </c>
      <c r="P71" s="63">
        <f t="shared" si="4"/>
        <v>660060</v>
      </c>
      <c r="Q71" s="54" t="s">
        <v>787</v>
      </c>
      <c r="R71" s="30" t="s">
        <v>321</v>
      </c>
      <c r="S71" s="30" t="s">
        <v>322</v>
      </c>
      <c r="T71" s="54" t="s">
        <v>40</v>
      </c>
      <c r="U71" s="54"/>
      <c r="V71" s="54"/>
      <c r="W71" s="54"/>
      <c r="X71" s="54">
        <f>AF71</f>
        <v>6.6</v>
      </c>
      <c r="Y71" s="54"/>
      <c r="Z71" s="72" cm="1">
        <f t="array" ref="Z71">_xlfn.LET(
_xlpm.a,IF(ISNUMBER($U71),$U71,IFERROR(_xlfn.NUMBERVALUE(TRIM($U71)),0)),
_xlpm.b,IF(ISNUMBER($V71),$V71,IFERROR(_xlfn.NUMBERVALUE(TRIM($V71)),0)),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71" s="72" cm="1">
        <f t="array" ref="AA71">_xlfn.IFS($W71=0,0,AND($W71&gt;0,$W71&lt;=0.5),2,AND($W71&gt;0.5,$W71&lt;=1),3,AND($W71&gt;1,$W71&lt;=1.5),4,AND($W71&gt;1.5,$W71&lt;=2),5,AND($W71&gt;2,$W71&lt;=3),6,AND($W71&gt;3,$W71&lt;=4),7,$W71&gt;4,8)</f>
        <v>0</v>
      </c>
      <c r="AB71" s="72" cm="1">
        <f t="array" ref="AB71">_xlfn.IFS($X71=0,0,AND($X71&gt;0,$X71&lt;=0.5),2,AND($X71&gt;0.5,$X71&lt;=1),3,AND($X71&gt;1,$X71&lt;=1.5),4,AND($X71&gt;1.5,$X71&lt;=2),5,AND($X71&gt;2,$X71&lt;=3),6,AND($X71&gt;3,$X71&lt;=4),7,$X71&gt;4,8)</f>
        <v>8</v>
      </c>
      <c r="AC71" s="72" cm="1">
        <f t="array" ref="AC71">_xlfn.IFS($Y71=0,0,AND($Y71&gt;0,$Y71&lt;=0.5),2,AND($Y71&gt;0.5,$Y71&lt;=1),3,AND($Y71&gt;1,$Y71&lt;=1.5),4,AND($Y71&gt;1.5,$Y71&lt;=2),5,AND($Y71&gt;2,$Y71&lt;=3),6,AND($Y71&gt;3,$Y71&lt;=4),7,$Y71&gt;4,8)</f>
        <v>0</v>
      </c>
      <c r="AD71" s="54">
        <v>5.6999999999999993</v>
      </c>
      <c r="AE71" s="54">
        <v>0.89999999999999991</v>
      </c>
      <c r="AF71" s="54">
        <f t="shared" si="6"/>
        <v>6.6</v>
      </c>
      <c r="AG71" s="55">
        <v>2570</v>
      </c>
      <c r="AH71" s="54" t="s">
        <v>41</v>
      </c>
    </row>
    <row r="72" spans="1:34" x14ac:dyDescent="0.2">
      <c r="A72" s="52">
        <v>69</v>
      </c>
      <c r="B72" s="52" t="s">
        <v>26</v>
      </c>
      <c r="C72" s="52" t="s">
        <v>27</v>
      </c>
      <c r="D72" s="52" t="s">
        <v>28</v>
      </c>
      <c r="E72" s="52" t="s">
        <v>323</v>
      </c>
      <c r="F72" s="53" t="s">
        <v>324</v>
      </c>
      <c r="G72" s="54">
        <v>12.6</v>
      </c>
      <c r="H72" s="55" t="s">
        <v>31</v>
      </c>
      <c r="I72" s="55">
        <v>2570</v>
      </c>
      <c r="J72" s="56">
        <v>46326</v>
      </c>
      <c r="K72" s="56">
        <v>46531</v>
      </c>
      <c r="L72" s="55" t="s">
        <v>133</v>
      </c>
      <c r="M72" s="55" t="s">
        <v>35</v>
      </c>
      <c r="N72" s="62" t="s">
        <v>36</v>
      </c>
      <c r="O72" s="63">
        <f t="shared" si="3"/>
        <v>1286774.9999999998</v>
      </c>
      <c r="P72" s="63">
        <f t="shared" si="4"/>
        <v>694800</v>
      </c>
      <c r="Q72" s="54" t="s">
        <v>787</v>
      </c>
      <c r="R72" s="30" t="s">
        <v>325</v>
      </c>
      <c r="S72" s="30" t="s">
        <v>326</v>
      </c>
      <c r="T72" s="54" t="s">
        <v>40</v>
      </c>
      <c r="U72" s="54"/>
      <c r="V72" s="54"/>
      <c r="W72" s="54"/>
      <c r="X72" s="54">
        <f>AF72</f>
        <v>13.86</v>
      </c>
      <c r="Y72" s="54"/>
      <c r="Z72" s="72" cm="1">
        <f t="array" ref="Z72">_xlfn.LET(
_xlpm.a,IF(ISNUMBER($U72),$U72,IFERROR(_xlfn.NUMBERVALUE(TRIM($U72)),0)),
_xlpm.b,IF(ISNUMBER($V72),$V72,IFERROR(_xlfn.NUMBERVALUE(TRIM($V72)),0)),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72" s="72" cm="1">
        <f t="array" ref="AA72">_xlfn.IFS($W72=0,0,AND($W72&gt;0,$W72&lt;=0.5),2,AND($W72&gt;0.5,$W72&lt;=1),3,AND($W72&gt;1,$W72&lt;=1.5),4,AND($W72&gt;1.5,$W72&lt;=2),5,AND($W72&gt;2,$W72&lt;=3),6,AND($W72&gt;3,$W72&lt;=4),7,$W72&gt;4,8)</f>
        <v>0</v>
      </c>
      <c r="AB72" s="72" cm="1">
        <f t="array" ref="AB72">_xlfn.IFS($X72=0,0,AND($X72&gt;0,$X72&lt;=0.5),2,AND($X72&gt;0.5,$X72&lt;=1),3,AND($X72&gt;1,$X72&lt;=1.5),4,AND($X72&gt;1.5,$X72&lt;=2),5,AND($X72&gt;2,$X72&lt;=3),6,AND($X72&gt;3,$X72&lt;=4),7,$X72&gt;4,8)</f>
        <v>8</v>
      </c>
      <c r="AC72" s="72" cm="1">
        <f t="array" ref="AC72">_xlfn.IFS($Y72=0,0,AND($Y72&gt;0,$Y72&lt;=0.5),2,AND($Y72&gt;0.5,$Y72&lt;=1),3,AND($Y72&gt;1,$Y72&lt;=1.5),4,AND($Y72&gt;1.5,$Y72&lt;=2),5,AND($Y72&gt;2,$Y72&lt;=3),6,AND($Y72&gt;3,$Y72&lt;=4),7,$Y72&gt;4,8)</f>
        <v>0</v>
      </c>
      <c r="AD72" s="54">
        <v>11.969999999999999</v>
      </c>
      <c r="AE72" s="54">
        <v>1.89</v>
      </c>
      <c r="AF72" s="54">
        <f t="shared" si="6"/>
        <v>13.86</v>
      </c>
      <c r="AG72" s="55">
        <v>2570</v>
      </c>
      <c r="AH72" s="54" t="s">
        <v>41</v>
      </c>
    </row>
    <row r="73" spans="1:34" x14ac:dyDescent="0.2">
      <c r="A73" s="52">
        <v>70</v>
      </c>
      <c r="B73" s="52" t="s">
        <v>26</v>
      </c>
      <c r="C73" s="52" t="s">
        <v>27</v>
      </c>
      <c r="D73" s="52" t="s">
        <v>28</v>
      </c>
      <c r="E73" s="52" t="s">
        <v>327</v>
      </c>
      <c r="F73" s="53" t="s">
        <v>328</v>
      </c>
      <c r="G73" s="54">
        <v>3.6</v>
      </c>
      <c r="H73" s="55" t="s">
        <v>56</v>
      </c>
      <c r="I73" s="55">
        <v>2570</v>
      </c>
      <c r="J73" s="56">
        <v>46326</v>
      </c>
      <c r="K73" s="56">
        <v>46540</v>
      </c>
      <c r="L73" s="55" t="s">
        <v>133</v>
      </c>
      <c r="M73" s="55" t="s">
        <v>35</v>
      </c>
      <c r="N73" s="62" t="s">
        <v>71</v>
      </c>
      <c r="O73" s="63">
        <f t="shared" si="3"/>
        <v>735300</v>
      </c>
      <c r="P73" s="63">
        <f t="shared" si="4"/>
        <v>405300</v>
      </c>
      <c r="Q73" s="54" t="s">
        <v>787</v>
      </c>
      <c r="R73" s="30" t="s">
        <v>322</v>
      </c>
      <c r="S73" s="30" t="s">
        <v>329</v>
      </c>
      <c r="T73" s="54" t="s">
        <v>40</v>
      </c>
      <c r="U73" s="54"/>
      <c r="V73" s="54"/>
      <c r="W73" s="54"/>
      <c r="X73" s="54">
        <f>AF73</f>
        <v>3.96</v>
      </c>
      <c r="Y73" s="54"/>
      <c r="Z73" s="72" cm="1">
        <f t="array" ref="Z73">_xlfn.LET(
_xlpm.a,IF(ISNUMBER($U73),$U73,IFERROR(_xlfn.NUMBERVALUE(TRIM($U73)),0)),
_xlpm.b,IF(ISNUMBER($V73),$V73,IFERROR(_xlfn.NUMBERVALUE(TRIM($V73)),0)),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73" s="72" cm="1">
        <f t="array" ref="AA73">_xlfn.IFS($W73=0,0,AND($W73&gt;0,$W73&lt;=0.5),2,AND($W73&gt;0.5,$W73&lt;=1),3,AND($W73&gt;1,$W73&lt;=1.5),4,AND($W73&gt;1.5,$W73&lt;=2),5,AND($W73&gt;2,$W73&lt;=3),6,AND($W73&gt;3,$W73&lt;=4),7,$W73&gt;4,8)</f>
        <v>0</v>
      </c>
      <c r="AB73" s="72" cm="1">
        <f t="array" ref="AB73">_xlfn.IFS($X73=0,0,AND($X73&gt;0,$X73&lt;=0.5),2,AND($X73&gt;0.5,$X73&lt;=1),3,AND($X73&gt;1,$X73&lt;=1.5),4,AND($X73&gt;1.5,$X73&lt;=2),5,AND($X73&gt;2,$X73&lt;=3),6,AND($X73&gt;3,$X73&lt;=4),7,$X73&gt;4,8)</f>
        <v>7</v>
      </c>
      <c r="AC73" s="72" cm="1">
        <f t="array" ref="AC73">_xlfn.IFS($Y73=0,0,AND($Y73&gt;0,$Y73&lt;=0.5),2,AND($Y73&gt;0.5,$Y73&lt;=1),3,AND($Y73&gt;1,$Y73&lt;=1.5),4,AND($Y73&gt;1.5,$Y73&lt;=2),5,AND($Y73&gt;2,$Y73&lt;=3),6,AND($Y73&gt;3,$Y73&lt;=4),7,$Y73&gt;4,8)</f>
        <v>0</v>
      </c>
      <c r="AD73" s="54">
        <v>3.42</v>
      </c>
      <c r="AE73" s="54">
        <v>0.54</v>
      </c>
      <c r="AF73" s="54">
        <f t="shared" si="6"/>
        <v>3.96</v>
      </c>
      <c r="AG73" s="55">
        <v>2570</v>
      </c>
      <c r="AH73" s="54" t="s">
        <v>41</v>
      </c>
    </row>
    <row r="74" spans="1:34" x14ac:dyDescent="0.2">
      <c r="A74" s="52">
        <v>71</v>
      </c>
      <c r="B74" s="52" t="s">
        <v>26</v>
      </c>
      <c r="C74" s="52" t="s">
        <v>27</v>
      </c>
      <c r="D74" s="52" t="s">
        <v>28</v>
      </c>
      <c r="E74" s="52" t="s">
        <v>330</v>
      </c>
      <c r="F74" s="53" t="s">
        <v>331</v>
      </c>
      <c r="G74" s="54">
        <v>10.6</v>
      </c>
      <c r="H74" s="55" t="s">
        <v>118</v>
      </c>
      <c r="I74" s="55">
        <v>2570</v>
      </c>
      <c r="J74" s="56">
        <v>46387</v>
      </c>
      <c r="K74" s="56">
        <v>46559</v>
      </c>
      <c r="L74" s="55" t="s">
        <v>133</v>
      </c>
      <c r="M74" s="55" t="s">
        <v>35</v>
      </c>
      <c r="N74" s="62" t="s">
        <v>36</v>
      </c>
      <c r="O74" s="63">
        <f t="shared" si="3"/>
        <v>1082524.9999999998</v>
      </c>
      <c r="P74" s="63">
        <f t="shared" si="4"/>
        <v>584790</v>
      </c>
      <c r="Q74" s="54" t="s">
        <v>787</v>
      </c>
      <c r="R74" s="30" t="s">
        <v>332</v>
      </c>
      <c r="S74" s="30" t="s">
        <v>333</v>
      </c>
      <c r="T74" s="54" t="s">
        <v>40</v>
      </c>
      <c r="U74" s="54"/>
      <c r="V74" s="54"/>
      <c r="W74" s="54"/>
      <c r="X74" s="54">
        <f>AF74</f>
        <v>11.659999999999998</v>
      </c>
      <c r="Y74" s="54"/>
      <c r="Z74" s="72" cm="1">
        <f t="array" ref="Z74">_xlfn.LET(
_xlpm.a,IF(ISNUMBER($U74),$U74,IFERROR(_xlfn.NUMBERVALUE(TRIM($U74)),0)),
_xlpm.b,IF(ISNUMBER($V74),$V74,IFERROR(_xlfn.NUMBERVALUE(TRIM($V74)),0)),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74" s="72" cm="1">
        <f t="array" ref="AA74">_xlfn.IFS($W74=0,0,AND($W74&gt;0,$W74&lt;=0.5),2,AND($W74&gt;0.5,$W74&lt;=1),3,AND($W74&gt;1,$W74&lt;=1.5),4,AND($W74&gt;1.5,$W74&lt;=2),5,AND($W74&gt;2,$W74&lt;=3),6,AND($W74&gt;3,$W74&lt;=4),7,$W74&gt;4,8)</f>
        <v>0</v>
      </c>
      <c r="AB74" s="72" cm="1">
        <f t="array" ref="AB74">_xlfn.IFS($X74=0,0,AND($X74&gt;0,$X74&lt;=0.5),2,AND($X74&gt;0.5,$X74&lt;=1),3,AND($X74&gt;1,$X74&lt;=1.5),4,AND($X74&gt;1.5,$X74&lt;=2),5,AND($X74&gt;2,$X74&lt;=3),6,AND($X74&gt;3,$X74&lt;=4),7,$X74&gt;4,8)</f>
        <v>8</v>
      </c>
      <c r="AC74" s="72" cm="1">
        <f t="array" ref="AC74">_xlfn.IFS($Y74=0,0,AND($Y74&gt;0,$Y74&lt;=0.5),2,AND($Y74&gt;0.5,$Y74&lt;=1),3,AND($Y74&gt;1,$Y74&lt;=1.5),4,AND($Y74&gt;1.5,$Y74&lt;=2),5,AND($Y74&gt;2,$Y74&lt;=3),6,AND($Y74&gt;3,$Y74&lt;=4),7,$Y74&gt;4,8)</f>
        <v>0</v>
      </c>
      <c r="AD74" s="54">
        <v>10.069999999999999</v>
      </c>
      <c r="AE74" s="54">
        <v>1.5899999999999999</v>
      </c>
      <c r="AF74" s="54">
        <f t="shared" si="6"/>
        <v>11.659999999999998</v>
      </c>
      <c r="AG74" s="55">
        <v>2570</v>
      </c>
      <c r="AH74" s="54" t="s">
        <v>41</v>
      </c>
    </row>
    <row r="75" spans="1:34" x14ac:dyDescent="0.2">
      <c r="A75" s="52">
        <v>72</v>
      </c>
      <c r="B75" s="52" t="s">
        <v>26</v>
      </c>
      <c r="C75" s="52" t="s">
        <v>27</v>
      </c>
      <c r="D75" s="52" t="s">
        <v>28</v>
      </c>
      <c r="E75" s="52" t="s">
        <v>334</v>
      </c>
      <c r="F75" s="53" t="s">
        <v>335</v>
      </c>
      <c r="G75" s="54">
        <v>9.1</v>
      </c>
      <c r="H75" s="55" t="s">
        <v>44</v>
      </c>
      <c r="I75" s="55">
        <v>2570</v>
      </c>
      <c r="J75" s="56">
        <v>46387</v>
      </c>
      <c r="K75" s="56">
        <v>46563</v>
      </c>
      <c r="L75" s="55" t="s">
        <v>133</v>
      </c>
      <c r="M75" s="55" t="s">
        <v>35</v>
      </c>
      <c r="N75" s="62" t="s">
        <v>36</v>
      </c>
      <c r="O75" s="63">
        <f t="shared" si="3"/>
        <v>778050</v>
      </c>
      <c r="P75" s="63">
        <f t="shared" si="4"/>
        <v>503730</v>
      </c>
      <c r="Q75" s="54" t="s">
        <v>787</v>
      </c>
      <c r="R75" s="30" t="s">
        <v>311</v>
      </c>
      <c r="S75" s="30" t="s">
        <v>314</v>
      </c>
      <c r="T75" s="54" t="s">
        <v>53</v>
      </c>
      <c r="U75" s="54"/>
      <c r="V75" s="54"/>
      <c r="W75" s="54">
        <f>AF75</f>
        <v>10.01</v>
      </c>
      <c r="X75" s="54"/>
      <c r="Y75" s="54"/>
      <c r="Z75" s="72" cm="1">
        <f t="array" ref="Z75">_xlfn.LET(
_xlpm.a,IF(ISNUMBER($U75),$U75,IFERROR(_xlfn.NUMBERVALUE(TRIM($U75)),0)),
_xlpm.b,IF(ISNUMBER($V75),$V75,IFERROR(_xlfn.NUMBERVALUE(TRIM($V75)),0)),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75" s="72" cm="1">
        <f t="array" ref="AA75">_xlfn.IFS($W75=0,0,AND($W75&gt;0,$W75&lt;=0.5),2,AND($W75&gt;0.5,$W75&lt;=1),3,AND($W75&gt;1,$W75&lt;=1.5),4,AND($W75&gt;1.5,$W75&lt;=2),5,AND($W75&gt;2,$W75&lt;=3),6,AND($W75&gt;3,$W75&lt;=4),7,$W75&gt;4,8)</f>
        <v>8</v>
      </c>
      <c r="AB75" s="72" cm="1">
        <f t="array" ref="AB75">_xlfn.IFS($X75=0,0,AND($X75&gt;0,$X75&lt;=0.5),2,AND($X75&gt;0.5,$X75&lt;=1),3,AND($X75&gt;1,$X75&lt;=1.5),4,AND($X75&gt;1.5,$X75&lt;=2),5,AND($X75&gt;2,$X75&lt;=3),6,AND($X75&gt;3,$X75&lt;=4),7,$X75&gt;4,8)</f>
        <v>0</v>
      </c>
      <c r="AC75" s="72" cm="1">
        <f t="array" ref="AC75">_xlfn.IFS($Y75=0,0,AND($Y75&gt;0,$Y75&lt;=0.5),2,AND($Y75&gt;0.5,$Y75&lt;=1),3,AND($Y75&gt;1,$Y75&lt;=1.5),4,AND($Y75&gt;1.5,$Y75&lt;=2),5,AND($Y75&gt;2,$Y75&lt;=3),6,AND($Y75&gt;3,$Y75&lt;=4),7,$Y75&gt;4,8)</f>
        <v>0</v>
      </c>
      <c r="AD75" s="54">
        <v>8.6449999999999996</v>
      </c>
      <c r="AE75" s="54">
        <v>1.365</v>
      </c>
      <c r="AF75" s="54">
        <f t="shared" si="6"/>
        <v>10.01</v>
      </c>
      <c r="AG75" s="55">
        <v>2570</v>
      </c>
      <c r="AH75" s="54" t="s">
        <v>47</v>
      </c>
    </row>
    <row r="76" spans="1:34" x14ac:dyDescent="0.2">
      <c r="A76" s="52">
        <v>73</v>
      </c>
      <c r="B76" s="52" t="s">
        <v>26</v>
      </c>
      <c r="C76" s="52" t="s">
        <v>27</v>
      </c>
      <c r="D76" s="52" t="s">
        <v>28</v>
      </c>
      <c r="E76" s="52" t="s">
        <v>336</v>
      </c>
      <c r="F76" s="53" t="s">
        <v>337</v>
      </c>
      <c r="G76" s="54">
        <v>4.2</v>
      </c>
      <c r="H76" s="55" t="s">
        <v>44</v>
      </c>
      <c r="I76" s="55">
        <v>2570</v>
      </c>
      <c r="J76" s="56">
        <v>46477</v>
      </c>
      <c r="K76" s="56">
        <v>46595</v>
      </c>
      <c r="L76" s="55" t="s">
        <v>133</v>
      </c>
      <c r="M76" s="55" t="s">
        <v>35</v>
      </c>
      <c r="N76" s="62" t="s">
        <v>71</v>
      </c>
      <c r="O76" s="63">
        <f t="shared" si="3"/>
        <v>718200</v>
      </c>
      <c r="P76" s="63">
        <f t="shared" si="4"/>
        <v>463200</v>
      </c>
      <c r="Q76" s="54" t="s">
        <v>787</v>
      </c>
      <c r="R76" s="30" t="s">
        <v>311</v>
      </c>
      <c r="S76" s="30" t="s">
        <v>338</v>
      </c>
      <c r="T76" s="54" t="s">
        <v>53</v>
      </c>
      <c r="U76" s="54"/>
      <c r="V76" s="54"/>
      <c r="W76" s="54">
        <f>AF76</f>
        <v>4.62</v>
      </c>
      <c r="X76" s="54"/>
      <c r="Y76" s="54"/>
      <c r="Z76" s="72" cm="1">
        <f t="array" ref="Z76">_xlfn.LET(
_xlpm.a,IF(ISNUMBER($U76),$U76,IFERROR(_xlfn.NUMBERVALUE(TRIM($U76)),0)),
_xlpm.b,IF(ISNUMBER($V76),$V76,IFERROR(_xlfn.NUMBERVALUE(TRIM($V76)),0)),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76" s="72" cm="1">
        <f t="array" ref="AA76">_xlfn.IFS($W76=0,0,AND($W76&gt;0,$W76&lt;=0.5),2,AND($W76&gt;0.5,$W76&lt;=1),3,AND($W76&gt;1,$W76&lt;=1.5),4,AND($W76&gt;1.5,$W76&lt;=2),5,AND($W76&gt;2,$W76&lt;=3),6,AND($W76&gt;3,$W76&lt;=4),7,$W76&gt;4,8)</f>
        <v>8</v>
      </c>
      <c r="AB76" s="72" cm="1">
        <f t="array" ref="AB76">_xlfn.IFS($X76=0,0,AND($X76&gt;0,$X76&lt;=0.5),2,AND($X76&gt;0.5,$X76&lt;=1),3,AND($X76&gt;1,$X76&lt;=1.5),4,AND($X76&gt;1.5,$X76&lt;=2),5,AND($X76&gt;2,$X76&lt;=3),6,AND($X76&gt;3,$X76&lt;=4),7,$X76&gt;4,8)</f>
        <v>0</v>
      </c>
      <c r="AC76" s="72" cm="1">
        <f t="array" ref="AC76">_xlfn.IFS($Y76=0,0,AND($Y76&gt;0,$Y76&lt;=0.5),2,AND($Y76&gt;0.5,$Y76&lt;=1),3,AND($Y76&gt;1,$Y76&lt;=1.5),4,AND($Y76&gt;1.5,$Y76&lt;=2),5,AND($Y76&gt;2,$Y76&lt;=3),6,AND($Y76&gt;3,$Y76&lt;=4),7,$Y76&gt;4,8)</f>
        <v>0</v>
      </c>
      <c r="AD76" s="54">
        <v>3.9899999999999998</v>
      </c>
      <c r="AE76" s="54">
        <v>0.63</v>
      </c>
      <c r="AF76" s="54">
        <f t="shared" si="6"/>
        <v>4.62</v>
      </c>
      <c r="AG76" s="55">
        <v>2571</v>
      </c>
      <c r="AH76" s="54" t="s">
        <v>47</v>
      </c>
    </row>
    <row r="77" spans="1:34" x14ac:dyDescent="0.2">
      <c r="A77" s="52">
        <v>74</v>
      </c>
      <c r="B77" s="52" t="s">
        <v>26</v>
      </c>
      <c r="C77" s="52" t="s">
        <v>149</v>
      </c>
      <c r="D77" s="52" t="s">
        <v>28</v>
      </c>
      <c r="E77" s="52" t="s">
        <v>339</v>
      </c>
      <c r="F77" s="53" t="s">
        <v>340</v>
      </c>
      <c r="G77" s="54">
        <v>9.4</v>
      </c>
      <c r="H77" s="55" t="s">
        <v>118</v>
      </c>
      <c r="I77" s="55">
        <v>2570</v>
      </c>
      <c r="J77" s="56">
        <v>46387</v>
      </c>
      <c r="K77" s="56">
        <v>46650</v>
      </c>
      <c r="L77" s="55" t="s">
        <v>133</v>
      </c>
      <c r="M77" s="55" t="s">
        <v>35</v>
      </c>
      <c r="N77" s="62" t="s">
        <v>36</v>
      </c>
      <c r="O77" s="63">
        <f t="shared" si="3"/>
        <v>959975</v>
      </c>
      <c r="P77" s="63">
        <f t="shared" si="4"/>
        <v>521100</v>
      </c>
      <c r="Q77" s="54" t="s">
        <v>787</v>
      </c>
      <c r="R77" s="30" t="s">
        <v>341</v>
      </c>
      <c r="S77" s="30" t="s">
        <v>342</v>
      </c>
      <c r="T77" s="54" t="s">
        <v>40</v>
      </c>
      <c r="U77" s="54"/>
      <c r="V77" s="54"/>
      <c r="W77" s="54"/>
      <c r="X77" s="54">
        <f t="shared" ref="X77:X83" si="7">AF77</f>
        <v>10.34</v>
      </c>
      <c r="Y77" s="54"/>
      <c r="Z77" s="72" cm="1">
        <f t="array" ref="Z77">_xlfn.LET(
_xlpm.a,IF(ISNUMBER($U77),$U77,IFERROR(_xlfn.NUMBERVALUE(TRIM($U77)),0)),
_xlpm.b,IF(ISNUMBER($V77),$V77,IFERROR(_xlfn.NUMBERVALUE(TRIM($V77)),0)),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77" s="72" cm="1">
        <f t="array" ref="AA77">_xlfn.IFS($W77=0,0,AND($W77&gt;0,$W77&lt;=0.5),2,AND($W77&gt;0.5,$W77&lt;=1),3,AND($W77&gt;1,$W77&lt;=1.5),4,AND($W77&gt;1.5,$W77&lt;=2),5,AND($W77&gt;2,$W77&lt;=3),6,AND($W77&gt;3,$W77&lt;=4),7,$W77&gt;4,8)</f>
        <v>0</v>
      </c>
      <c r="AB77" s="72" cm="1">
        <f t="array" ref="AB77">_xlfn.IFS($X77=0,0,AND($X77&gt;0,$X77&lt;=0.5),2,AND($X77&gt;0.5,$X77&lt;=1),3,AND($X77&gt;1,$X77&lt;=1.5),4,AND($X77&gt;1.5,$X77&lt;=2),5,AND($X77&gt;2,$X77&lt;=3),6,AND($X77&gt;3,$X77&lt;=4),7,$X77&gt;4,8)</f>
        <v>8</v>
      </c>
      <c r="AC77" s="72" cm="1">
        <f t="array" ref="AC77">_xlfn.IFS($Y77=0,0,AND($Y77&gt;0,$Y77&lt;=0.5),2,AND($Y77&gt;0.5,$Y77&lt;=1),3,AND($Y77&gt;1,$Y77&lt;=1.5),4,AND($Y77&gt;1.5,$Y77&lt;=2),5,AND($Y77&gt;2,$Y77&lt;=3),6,AND($Y77&gt;3,$Y77&lt;=4),7,$Y77&gt;4,8)</f>
        <v>0</v>
      </c>
      <c r="AD77" s="54">
        <v>8.93</v>
      </c>
      <c r="AE77" s="54">
        <v>1.41</v>
      </c>
      <c r="AF77" s="54">
        <f t="shared" si="6"/>
        <v>10.34</v>
      </c>
      <c r="AG77" s="55">
        <v>2571</v>
      </c>
      <c r="AH77" s="54" t="s">
        <v>47</v>
      </c>
    </row>
    <row r="78" spans="1:34" x14ac:dyDescent="0.2">
      <c r="A78" s="52">
        <v>75</v>
      </c>
      <c r="B78" s="52" t="s">
        <v>26</v>
      </c>
      <c r="C78" s="52" t="s">
        <v>27</v>
      </c>
      <c r="D78" s="52" t="s">
        <v>28</v>
      </c>
      <c r="E78" s="52" t="s">
        <v>343</v>
      </c>
      <c r="F78" s="53" t="s">
        <v>344</v>
      </c>
      <c r="G78" s="54">
        <v>16.2</v>
      </c>
      <c r="H78" s="55" t="s">
        <v>56</v>
      </c>
      <c r="I78" s="55">
        <v>2570</v>
      </c>
      <c r="J78" s="56">
        <v>46387</v>
      </c>
      <c r="K78" s="56">
        <v>46657</v>
      </c>
      <c r="L78" s="55" t="s">
        <v>133</v>
      </c>
      <c r="M78" s="55" t="s">
        <v>35</v>
      </c>
      <c r="N78" s="62" t="s">
        <v>36</v>
      </c>
      <c r="O78" s="63">
        <f t="shared" si="3"/>
        <v>1654424.9999999998</v>
      </c>
      <c r="P78" s="63">
        <f t="shared" si="4"/>
        <v>891660</v>
      </c>
      <c r="Q78" s="54" t="s">
        <v>787</v>
      </c>
      <c r="R78" s="30" t="s">
        <v>345</v>
      </c>
      <c r="S78" s="30" t="s">
        <v>346</v>
      </c>
      <c r="T78" s="54" t="s">
        <v>40</v>
      </c>
      <c r="U78" s="54"/>
      <c r="V78" s="54"/>
      <c r="W78" s="54"/>
      <c r="X78" s="54">
        <f t="shared" si="7"/>
        <v>17.82</v>
      </c>
      <c r="Y78" s="54"/>
      <c r="Z78" s="72" cm="1">
        <f t="array" ref="Z78">_xlfn.LET(
_xlpm.a,IF(ISNUMBER($U78),$U78,IFERROR(_xlfn.NUMBERVALUE(TRIM($U78)),0)),
_xlpm.b,IF(ISNUMBER($V78),$V78,IFERROR(_xlfn.NUMBERVALUE(TRIM($V78)),0)),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78" s="72" cm="1">
        <f t="array" ref="AA78">_xlfn.IFS($W78=0,0,AND($W78&gt;0,$W78&lt;=0.5),2,AND($W78&gt;0.5,$W78&lt;=1),3,AND($W78&gt;1,$W78&lt;=1.5),4,AND($W78&gt;1.5,$W78&lt;=2),5,AND($W78&gt;2,$W78&lt;=3),6,AND($W78&gt;3,$W78&lt;=4),7,$W78&gt;4,8)</f>
        <v>0</v>
      </c>
      <c r="AB78" s="72" cm="1">
        <f t="array" ref="AB78">_xlfn.IFS($X78=0,0,AND($X78&gt;0,$X78&lt;=0.5),2,AND($X78&gt;0.5,$X78&lt;=1),3,AND($X78&gt;1,$X78&lt;=1.5),4,AND($X78&gt;1.5,$X78&lt;=2),5,AND($X78&gt;2,$X78&lt;=3),6,AND($X78&gt;3,$X78&lt;=4),7,$X78&gt;4,8)</f>
        <v>8</v>
      </c>
      <c r="AC78" s="72" cm="1">
        <f t="array" ref="AC78">_xlfn.IFS($Y78=0,0,AND($Y78&gt;0,$Y78&lt;=0.5),2,AND($Y78&gt;0.5,$Y78&lt;=1),3,AND($Y78&gt;1,$Y78&lt;=1.5),4,AND($Y78&gt;1.5,$Y78&lt;=2),5,AND($Y78&gt;2,$Y78&lt;=3),6,AND($Y78&gt;3,$Y78&lt;=4),7,$Y78&gt;4,8)</f>
        <v>0</v>
      </c>
      <c r="AD78" s="54">
        <v>15.389999999999999</v>
      </c>
      <c r="AE78" s="54">
        <v>2.4299999999999997</v>
      </c>
      <c r="AF78" s="54">
        <f t="shared" si="6"/>
        <v>17.82</v>
      </c>
      <c r="AG78" s="55">
        <v>2570</v>
      </c>
      <c r="AH78" s="54" t="s">
        <v>47</v>
      </c>
    </row>
    <row r="79" spans="1:34" x14ac:dyDescent="0.2">
      <c r="A79" s="52">
        <v>76</v>
      </c>
      <c r="B79" s="52" t="s">
        <v>26</v>
      </c>
      <c r="C79" s="52" t="s">
        <v>27</v>
      </c>
      <c r="D79" s="52" t="s">
        <v>28</v>
      </c>
      <c r="E79" s="52" t="s">
        <v>347</v>
      </c>
      <c r="F79" s="53" t="s">
        <v>348</v>
      </c>
      <c r="G79" s="54">
        <v>17</v>
      </c>
      <c r="H79" s="55" t="s">
        <v>118</v>
      </c>
      <c r="I79" s="55">
        <v>2570</v>
      </c>
      <c r="J79" s="56">
        <v>46387</v>
      </c>
      <c r="K79" s="56">
        <v>46657</v>
      </c>
      <c r="L79" s="55" t="s">
        <v>133</v>
      </c>
      <c r="M79" s="55" t="s">
        <v>35</v>
      </c>
      <c r="N79" s="62" t="s">
        <v>36</v>
      </c>
      <c r="O79" s="63">
        <f t="shared" ref="O79:O97" si="8">IF(N79="yes",
IF(T79="60C",AD79*180000/2,
IF(T79="144C",AD79*215000/2,
IF(T79="216C",AD79*245000/2,
0)
)
),
IF(T79="60C",AD79*180000,
IF(T79="144C",AD79*215000,
IF(T79="216C",AD79*245000,
))))</f>
        <v>1236250</v>
      </c>
      <c r="P79" s="63">
        <f t="shared" ref="P79:P97" si="9">IF(N79="yes",ROUNDUP(AD79,1)*9650*12/2,ROUNDUP(AD79,1)*9650*12)</f>
        <v>665850</v>
      </c>
      <c r="Q79" s="54" t="s">
        <v>787</v>
      </c>
      <c r="R79" s="30" t="s">
        <v>346</v>
      </c>
      <c r="S79" s="30" t="s">
        <v>349</v>
      </c>
      <c r="T79" s="54" t="s">
        <v>40</v>
      </c>
      <c r="U79" s="54"/>
      <c r="V79" s="54"/>
      <c r="W79" s="54"/>
      <c r="X79" s="54">
        <f t="shared" si="7"/>
        <v>14.05</v>
      </c>
      <c r="Y79" s="54"/>
      <c r="Z79" s="72" cm="1">
        <f t="array" ref="Z79">_xlfn.LET(
_xlpm.a,IF(ISNUMBER($U79),$U79,IFERROR(_xlfn.NUMBERVALUE(TRIM($U79)),0)),
_xlpm.b,IF(ISNUMBER($V79),$V79,IFERROR(_xlfn.NUMBERVALUE(TRIM($V79)),0)),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79" s="72" cm="1">
        <f t="array" ref="AA79">_xlfn.IFS($W79=0,0,AND($W79&gt;0,$W79&lt;=0.5),2,AND($W79&gt;0.5,$W79&lt;=1),3,AND($W79&gt;1,$W79&lt;=1.5),4,AND($W79&gt;1.5,$W79&lt;=2),5,AND($W79&gt;2,$W79&lt;=3),6,AND($W79&gt;3,$W79&lt;=4),7,$W79&gt;4,8)</f>
        <v>0</v>
      </c>
      <c r="AB79" s="72" cm="1">
        <f t="array" ref="AB79">_xlfn.IFS($X79=0,0,AND($X79&gt;0,$X79&lt;=0.5),2,AND($X79&gt;0.5,$X79&lt;=1),3,AND($X79&gt;1,$X79&lt;=1.5),4,AND($X79&gt;1.5,$X79&lt;=2),5,AND($X79&gt;2,$X79&lt;=3),6,AND($X79&gt;3,$X79&lt;=4),7,$X79&gt;4,8)</f>
        <v>8</v>
      </c>
      <c r="AC79" s="72" cm="1">
        <f t="array" ref="AC79">_xlfn.IFS($Y79=0,0,AND($Y79&gt;0,$Y79&lt;=0.5),2,AND($Y79&gt;0.5,$Y79&lt;=1),3,AND($Y79&gt;1,$Y79&lt;=1.5),4,AND($Y79&gt;1.5,$Y79&lt;=2),5,AND($Y79&gt;2,$Y79&lt;=3),6,AND($Y79&gt;3,$Y79&lt;=4),7,$Y79&gt;4,8)</f>
        <v>0</v>
      </c>
      <c r="AD79" s="54">
        <v>11.5</v>
      </c>
      <c r="AE79" s="54">
        <v>2.5499999999999998</v>
      </c>
      <c r="AF79" s="54">
        <f t="shared" si="6"/>
        <v>14.05</v>
      </c>
      <c r="AG79" s="55">
        <v>2570</v>
      </c>
      <c r="AH79" s="54" t="s">
        <v>47</v>
      </c>
    </row>
    <row r="80" spans="1:34" x14ac:dyDescent="0.2">
      <c r="A80" s="52">
        <v>77</v>
      </c>
      <c r="B80" s="52" t="s">
        <v>26</v>
      </c>
      <c r="C80" s="52" t="s">
        <v>122</v>
      </c>
      <c r="D80" s="52" t="s">
        <v>28</v>
      </c>
      <c r="E80" s="92" t="s">
        <v>350</v>
      </c>
      <c r="F80" s="53" t="s">
        <v>351</v>
      </c>
      <c r="G80" s="54">
        <v>2.6</v>
      </c>
      <c r="H80" s="55" t="s">
        <v>56</v>
      </c>
      <c r="I80" s="55">
        <v>2570</v>
      </c>
      <c r="J80" s="56">
        <v>46295</v>
      </c>
      <c r="K80" s="56">
        <v>46679</v>
      </c>
      <c r="L80" s="55" t="s">
        <v>133</v>
      </c>
      <c r="M80" s="55" t="s">
        <v>35</v>
      </c>
      <c r="N80" s="62" t="s">
        <v>71</v>
      </c>
      <c r="O80" s="63">
        <f t="shared" si="8"/>
        <v>531050</v>
      </c>
      <c r="P80" s="63">
        <f t="shared" si="9"/>
        <v>289500</v>
      </c>
      <c r="Q80" s="54" t="s">
        <v>787</v>
      </c>
      <c r="R80" s="30" t="s">
        <v>352</v>
      </c>
      <c r="S80" s="30" t="s">
        <v>353</v>
      </c>
      <c r="T80" s="54" t="s">
        <v>40</v>
      </c>
      <c r="U80" s="54"/>
      <c r="V80" s="54"/>
      <c r="W80" s="54"/>
      <c r="X80" s="54">
        <f t="shared" si="7"/>
        <v>2.86</v>
      </c>
      <c r="Y80" s="54"/>
      <c r="Z80" s="72" cm="1">
        <f t="array" ref="Z80">_xlfn.LET(
_xlpm.a,IF(ISNUMBER($U80),$U80,IFERROR(_xlfn.NUMBERVALUE(TRIM($U80)),0)),
_xlpm.b,IF(ISNUMBER($V80),$V80,IFERROR(_xlfn.NUMBERVALUE(TRIM($V80)),0)),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80" s="72" cm="1">
        <f t="array" ref="AA80">_xlfn.IFS($W80=0,0,AND($W80&gt;0,$W80&lt;=0.5),2,AND($W80&gt;0.5,$W80&lt;=1),3,AND($W80&gt;1,$W80&lt;=1.5),4,AND($W80&gt;1.5,$W80&lt;=2),5,AND($W80&gt;2,$W80&lt;=3),6,AND($W80&gt;3,$W80&lt;=4),7,$W80&gt;4,8)</f>
        <v>0</v>
      </c>
      <c r="AB80" s="72" cm="1">
        <f t="array" ref="AB80">_xlfn.IFS($X80=0,0,AND($X80&gt;0,$X80&lt;=0.5),2,AND($X80&gt;0.5,$X80&lt;=1),3,AND($X80&gt;1,$X80&lt;=1.5),4,AND($X80&gt;1.5,$X80&lt;=2),5,AND($X80&gt;2,$X80&lt;=3),6,AND($X80&gt;3,$X80&lt;=4),7,$X80&gt;4,8)</f>
        <v>6</v>
      </c>
      <c r="AC80" s="72" cm="1">
        <f t="array" ref="AC80">_xlfn.IFS($Y80=0,0,AND($Y80&gt;0,$Y80&lt;=0.5),2,AND($Y80&gt;0.5,$Y80&lt;=1),3,AND($Y80&gt;1,$Y80&lt;=1.5),4,AND($Y80&gt;1.5,$Y80&lt;=2),5,AND($Y80&gt;2,$Y80&lt;=3),6,AND($Y80&gt;3,$Y80&lt;=4),7,$Y80&gt;4,8)</f>
        <v>0</v>
      </c>
      <c r="AD80" s="54">
        <v>2.4699999999999998</v>
      </c>
      <c r="AE80" s="54">
        <v>0.39</v>
      </c>
      <c r="AF80" s="54">
        <f t="shared" si="6"/>
        <v>2.86</v>
      </c>
      <c r="AG80" s="55">
        <v>2571</v>
      </c>
      <c r="AH80" s="54" t="s">
        <v>59</v>
      </c>
    </row>
    <row r="81" spans="1:34" x14ac:dyDescent="0.2">
      <c r="A81" s="52">
        <v>78</v>
      </c>
      <c r="B81" s="52" t="s">
        <v>26</v>
      </c>
      <c r="C81" s="52" t="s">
        <v>27</v>
      </c>
      <c r="D81" s="52" t="s">
        <v>28</v>
      </c>
      <c r="E81" s="52" t="s">
        <v>354</v>
      </c>
      <c r="F81" s="53" t="s">
        <v>355</v>
      </c>
      <c r="G81" s="54">
        <v>3.5</v>
      </c>
      <c r="H81" s="55" t="s">
        <v>56</v>
      </c>
      <c r="I81" s="55">
        <v>2570</v>
      </c>
      <c r="J81" s="56">
        <v>46387</v>
      </c>
      <c r="K81" s="56">
        <v>46685</v>
      </c>
      <c r="L81" s="55" t="s">
        <v>133</v>
      </c>
      <c r="M81" s="55" t="s">
        <v>35</v>
      </c>
      <c r="N81" s="62" t="s">
        <v>71</v>
      </c>
      <c r="O81" s="63">
        <f t="shared" si="8"/>
        <v>714875</v>
      </c>
      <c r="P81" s="63">
        <f t="shared" si="9"/>
        <v>393720</v>
      </c>
      <c r="Q81" s="54" t="s">
        <v>787</v>
      </c>
      <c r="R81" s="30" t="s">
        <v>356</v>
      </c>
      <c r="S81" s="30" t="s">
        <v>357</v>
      </c>
      <c r="T81" s="54" t="s">
        <v>40</v>
      </c>
      <c r="U81" s="54"/>
      <c r="V81" s="54"/>
      <c r="W81" s="54"/>
      <c r="X81" s="54">
        <f t="shared" si="7"/>
        <v>3.8499999999999996</v>
      </c>
      <c r="Y81" s="54"/>
      <c r="Z81" s="72" cm="1">
        <f t="array" ref="Z81">_xlfn.LET(
_xlpm.a,IF(ISNUMBER($U81),$U81,IFERROR(_xlfn.NUMBERVALUE(TRIM($U81)),0)),
_xlpm.b,IF(ISNUMBER($V81),$V81,IFERROR(_xlfn.NUMBERVALUE(TRIM($V81)),0)),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81" s="72" cm="1">
        <f t="array" ref="AA81">_xlfn.IFS($W81=0,0,AND($W81&gt;0,$W81&lt;=0.5),2,AND($W81&gt;0.5,$W81&lt;=1),3,AND($W81&gt;1,$W81&lt;=1.5),4,AND($W81&gt;1.5,$W81&lt;=2),5,AND($W81&gt;2,$W81&lt;=3),6,AND($W81&gt;3,$W81&lt;=4),7,$W81&gt;4,8)</f>
        <v>0</v>
      </c>
      <c r="AB81" s="72" cm="1">
        <f t="array" ref="AB81">_xlfn.IFS($X81=0,0,AND($X81&gt;0,$X81&lt;=0.5),2,AND($X81&gt;0.5,$X81&lt;=1),3,AND($X81&gt;1,$X81&lt;=1.5),4,AND($X81&gt;1.5,$X81&lt;=2),5,AND($X81&gt;2,$X81&lt;=3),6,AND($X81&gt;3,$X81&lt;=4),7,$X81&gt;4,8)</f>
        <v>7</v>
      </c>
      <c r="AC81" s="72" cm="1">
        <f t="array" ref="AC81">_xlfn.IFS($Y81=0,0,AND($Y81&gt;0,$Y81&lt;=0.5),2,AND($Y81&gt;0.5,$Y81&lt;=1),3,AND($Y81&gt;1,$Y81&lt;=1.5),4,AND($Y81&gt;1.5,$Y81&lt;=2),5,AND($Y81&gt;2,$Y81&lt;=3),6,AND($Y81&gt;3,$Y81&lt;=4),7,$Y81&gt;4,8)</f>
        <v>0</v>
      </c>
      <c r="AD81" s="54">
        <v>3.3249999999999997</v>
      </c>
      <c r="AE81" s="54">
        <v>0.52500000000000002</v>
      </c>
      <c r="AF81" s="54">
        <f t="shared" si="6"/>
        <v>3.8499999999999996</v>
      </c>
      <c r="AG81" s="55">
        <v>2571</v>
      </c>
      <c r="AH81" s="54" t="s">
        <v>41</v>
      </c>
    </row>
    <row r="82" spans="1:34" x14ac:dyDescent="0.2">
      <c r="A82" s="52">
        <v>79</v>
      </c>
      <c r="B82" s="52" t="s">
        <v>26</v>
      </c>
      <c r="C82" s="52" t="s">
        <v>27</v>
      </c>
      <c r="D82" s="52" t="s">
        <v>28</v>
      </c>
      <c r="E82" s="52" t="s">
        <v>358</v>
      </c>
      <c r="F82" s="53" t="s">
        <v>359</v>
      </c>
      <c r="G82" s="54">
        <v>3.4</v>
      </c>
      <c r="H82" s="55" t="s">
        <v>56</v>
      </c>
      <c r="I82" s="55">
        <v>2570</v>
      </c>
      <c r="J82" s="56">
        <v>46599</v>
      </c>
      <c r="K82" s="56">
        <v>46706</v>
      </c>
      <c r="L82" s="55" t="s">
        <v>133</v>
      </c>
      <c r="M82" s="55" t="s">
        <v>35</v>
      </c>
      <c r="N82" s="62" t="s">
        <v>71</v>
      </c>
      <c r="O82" s="63">
        <f t="shared" si="8"/>
        <v>694450</v>
      </c>
      <c r="P82" s="63">
        <f t="shared" si="9"/>
        <v>382140.00000000006</v>
      </c>
      <c r="Q82" s="54" t="s">
        <v>787</v>
      </c>
      <c r="R82" s="30" t="s">
        <v>360</v>
      </c>
      <c r="S82" s="30" t="s">
        <v>361</v>
      </c>
      <c r="T82" s="54" t="s">
        <v>40</v>
      </c>
      <c r="U82" s="54"/>
      <c r="V82" s="54"/>
      <c r="W82" s="54"/>
      <c r="X82" s="54">
        <f t="shared" si="7"/>
        <v>3.74</v>
      </c>
      <c r="Y82" s="54"/>
      <c r="Z82" s="72" cm="1">
        <f t="array" ref="Z82">_xlfn.LET(
_xlpm.a,IF(ISNUMBER($U82),$U82,IFERROR(_xlfn.NUMBERVALUE(TRIM($U82)),0)),
_xlpm.b,IF(ISNUMBER($V82),$V82,IFERROR(_xlfn.NUMBERVALUE(TRIM($V82)),0)),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82" s="72" cm="1">
        <f t="array" ref="AA82">_xlfn.IFS($W82=0,0,AND($W82&gt;0,$W82&lt;=0.5),2,AND($W82&gt;0.5,$W82&lt;=1),3,AND($W82&gt;1,$W82&lt;=1.5),4,AND($W82&gt;1.5,$W82&lt;=2),5,AND($W82&gt;2,$W82&lt;=3),6,AND($W82&gt;3,$W82&lt;=4),7,$W82&gt;4,8)</f>
        <v>0</v>
      </c>
      <c r="AB82" s="72" cm="1">
        <f t="array" ref="AB82">_xlfn.IFS($X82=0,0,AND($X82&gt;0,$X82&lt;=0.5),2,AND($X82&gt;0.5,$X82&lt;=1),3,AND($X82&gt;1,$X82&lt;=1.5),4,AND($X82&gt;1.5,$X82&lt;=2),5,AND($X82&gt;2,$X82&lt;=3),6,AND($X82&gt;3,$X82&lt;=4),7,$X82&gt;4,8)</f>
        <v>7</v>
      </c>
      <c r="AC82" s="72" cm="1">
        <f t="array" ref="AC82">_xlfn.IFS($Y82=0,0,AND($Y82&gt;0,$Y82&lt;=0.5),2,AND($Y82&gt;0.5,$Y82&lt;=1),3,AND($Y82&gt;1,$Y82&lt;=1.5),4,AND($Y82&gt;1.5,$Y82&lt;=2),5,AND($Y82&gt;2,$Y82&lt;=3),6,AND($Y82&gt;3,$Y82&lt;=4),7,$Y82&gt;4,8)</f>
        <v>0</v>
      </c>
      <c r="AD82" s="54">
        <v>3.23</v>
      </c>
      <c r="AE82" s="54">
        <v>0.51</v>
      </c>
      <c r="AF82" s="54">
        <f t="shared" si="6"/>
        <v>3.74</v>
      </c>
      <c r="AG82" s="55">
        <v>2571</v>
      </c>
      <c r="AH82" s="54" t="s">
        <v>66</v>
      </c>
    </row>
    <row r="83" spans="1:34" x14ac:dyDescent="0.2">
      <c r="A83" s="52">
        <v>80</v>
      </c>
      <c r="B83" s="52" t="s">
        <v>26</v>
      </c>
      <c r="C83" s="52" t="s">
        <v>213</v>
      </c>
      <c r="D83" s="52" t="s">
        <v>28</v>
      </c>
      <c r="E83" s="52" t="s">
        <v>362</v>
      </c>
      <c r="F83" s="53" t="s">
        <v>363</v>
      </c>
      <c r="G83" s="54">
        <v>11.4</v>
      </c>
      <c r="H83" s="55" t="s">
        <v>118</v>
      </c>
      <c r="I83" s="55">
        <v>2570</v>
      </c>
      <c r="J83" s="56">
        <v>46599</v>
      </c>
      <c r="K83" s="56">
        <v>46721</v>
      </c>
      <c r="L83" s="55" t="s">
        <v>133</v>
      </c>
      <c r="M83" s="55" t="s">
        <v>35</v>
      </c>
      <c r="N83" s="62" t="s">
        <v>36</v>
      </c>
      <c r="O83" s="63">
        <f t="shared" si="8"/>
        <v>1164225</v>
      </c>
      <c r="P83" s="63">
        <f t="shared" si="9"/>
        <v>631110</v>
      </c>
      <c r="Q83" s="54" t="s">
        <v>787</v>
      </c>
      <c r="R83" s="30" t="s">
        <v>364</v>
      </c>
      <c r="S83" s="30" t="s">
        <v>365</v>
      </c>
      <c r="T83" s="54" t="s">
        <v>40</v>
      </c>
      <c r="U83" s="54"/>
      <c r="V83" s="54"/>
      <c r="W83" s="54"/>
      <c r="X83" s="54">
        <f t="shared" si="7"/>
        <v>12.54</v>
      </c>
      <c r="Y83" s="54"/>
      <c r="Z83" s="72" cm="1">
        <f t="array" ref="Z83">_xlfn.LET(
_xlpm.a,IF(ISNUMBER($U83),$U83,IFERROR(_xlfn.NUMBERVALUE(TRIM($U83)),0)),
_xlpm.b,IF(ISNUMBER($V83),$V83,IFERROR(_xlfn.NUMBERVALUE(TRIM($V83)),0)),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83" s="72" cm="1">
        <f t="array" ref="AA83">_xlfn.IFS($W83=0,0,AND($W83&gt;0,$W83&lt;=0.5),2,AND($W83&gt;0.5,$W83&lt;=1),3,AND($W83&gt;1,$W83&lt;=1.5),4,AND($W83&gt;1.5,$W83&lt;=2),5,AND($W83&gt;2,$W83&lt;=3),6,AND($W83&gt;3,$W83&lt;=4),7,$W83&gt;4,8)</f>
        <v>0</v>
      </c>
      <c r="AB83" s="72" cm="1">
        <f t="array" ref="AB83">_xlfn.IFS($X83=0,0,AND($X83&gt;0,$X83&lt;=0.5),2,AND($X83&gt;0.5,$X83&lt;=1),3,AND($X83&gt;1,$X83&lt;=1.5),4,AND($X83&gt;1.5,$X83&lt;=2),5,AND($X83&gt;2,$X83&lt;=3),6,AND($X83&gt;3,$X83&lt;=4),7,$X83&gt;4,8)</f>
        <v>8</v>
      </c>
      <c r="AC83" s="72" cm="1">
        <f t="array" ref="AC83">_xlfn.IFS($Y83=0,0,AND($Y83&gt;0,$Y83&lt;=0.5),2,AND($Y83&gt;0.5,$Y83&lt;=1),3,AND($Y83&gt;1,$Y83&lt;=1.5),4,AND($Y83&gt;1.5,$Y83&lt;=2),5,AND($Y83&gt;2,$Y83&lt;=3),6,AND($Y83&gt;3,$Y83&lt;=4),7,$Y83&gt;4,8)</f>
        <v>0</v>
      </c>
      <c r="AD83" s="54">
        <v>10.83</v>
      </c>
      <c r="AE83" s="54">
        <v>1.71</v>
      </c>
      <c r="AF83" s="54">
        <f t="shared" si="6"/>
        <v>12.54</v>
      </c>
      <c r="AG83" s="55">
        <v>2571</v>
      </c>
      <c r="AH83" s="54" t="s">
        <v>47</v>
      </c>
    </row>
    <row r="84" spans="1:34" x14ac:dyDescent="0.2">
      <c r="A84" s="52">
        <v>81</v>
      </c>
      <c r="B84" s="52" t="s">
        <v>26</v>
      </c>
      <c r="C84" s="52" t="s">
        <v>27</v>
      </c>
      <c r="D84" s="52" t="s">
        <v>28</v>
      </c>
      <c r="E84" s="52" t="s">
        <v>366</v>
      </c>
      <c r="F84" s="53" t="s">
        <v>367</v>
      </c>
      <c r="G84" s="54">
        <v>11</v>
      </c>
      <c r="H84" s="55" t="s">
        <v>31</v>
      </c>
      <c r="I84" s="55">
        <v>2570</v>
      </c>
      <c r="J84" s="56">
        <v>46599</v>
      </c>
      <c r="K84" s="56">
        <v>46721</v>
      </c>
      <c r="L84" s="55" t="s">
        <v>133</v>
      </c>
      <c r="M84" s="55" t="s">
        <v>35</v>
      </c>
      <c r="N84" s="62" t="s">
        <v>36</v>
      </c>
      <c r="O84" s="63">
        <f t="shared" si="8"/>
        <v>940499.99999999988</v>
      </c>
      <c r="P84" s="63">
        <f t="shared" si="9"/>
        <v>607950</v>
      </c>
      <c r="Q84" s="54" t="s">
        <v>787</v>
      </c>
      <c r="R84" s="30" t="s">
        <v>368</v>
      </c>
      <c r="S84" s="30" t="s">
        <v>369</v>
      </c>
      <c r="T84" s="54" t="s">
        <v>53</v>
      </c>
      <c r="U84" s="54"/>
      <c r="V84" s="54"/>
      <c r="W84" s="54">
        <f>AF84</f>
        <v>12.1</v>
      </c>
      <c r="X84" s="54"/>
      <c r="Y84" s="54"/>
      <c r="Z84" s="72" cm="1">
        <f t="array" ref="Z84">_xlfn.LET(
_xlpm.a,IF(ISNUMBER($U84),$U84,IFERROR(_xlfn.NUMBERVALUE(TRIM($U84)),0)),
_xlpm.b,IF(ISNUMBER($V84),$V84,IFERROR(_xlfn.NUMBERVALUE(TRIM($V84)),0)),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84" s="72" cm="1">
        <f t="array" ref="AA84">_xlfn.IFS($W84=0,0,AND($W84&gt;0,$W84&lt;=0.5),2,AND($W84&gt;0.5,$W84&lt;=1),3,AND($W84&gt;1,$W84&lt;=1.5),4,AND($W84&gt;1.5,$W84&lt;=2),5,AND($W84&gt;2,$W84&lt;=3),6,AND($W84&gt;3,$W84&lt;=4),7,$W84&gt;4,8)</f>
        <v>8</v>
      </c>
      <c r="AB84" s="72" cm="1">
        <f t="array" ref="AB84">_xlfn.IFS($X84=0,0,AND($X84&gt;0,$X84&lt;=0.5),2,AND($X84&gt;0.5,$X84&lt;=1),3,AND($X84&gt;1,$X84&lt;=1.5),4,AND($X84&gt;1.5,$X84&lt;=2),5,AND($X84&gt;2,$X84&lt;=3),6,AND($X84&gt;3,$X84&lt;=4),7,$X84&gt;4,8)</f>
        <v>0</v>
      </c>
      <c r="AC84" s="72" cm="1">
        <f t="array" ref="AC84">_xlfn.IFS($Y84=0,0,AND($Y84&gt;0,$Y84&lt;=0.5),2,AND($Y84&gt;0.5,$Y84&lt;=1),3,AND($Y84&gt;1,$Y84&lt;=1.5),4,AND($Y84&gt;1.5,$Y84&lt;=2),5,AND($Y84&gt;2,$Y84&lt;=3),6,AND($Y84&gt;3,$Y84&lt;=4),7,$Y84&gt;4,8)</f>
        <v>0</v>
      </c>
      <c r="AD84" s="54">
        <v>10.45</v>
      </c>
      <c r="AE84" s="54">
        <v>1.65</v>
      </c>
      <c r="AF84" s="54">
        <f t="shared" si="6"/>
        <v>12.1</v>
      </c>
      <c r="AG84" s="55">
        <v>2571</v>
      </c>
      <c r="AH84" s="54" t="s">
        <v>41</v>
      </c>
    </row>
    <row r="85" spans="1:34" x14ac:dyDescent="0.2">
      <c r="A85" s="52">
        <v>82</v>
      </c>
      <c r="B85" s="52" t="s">
        <v>26</v>
      </c>
      <c r="C85" s="52" t="s">
        <v>27</v>
      </c>
      <c r="D85" s="52" t="s">
        <v>28</v>
      </c>
      <c r="E85" s="52" t="s">
        <v>370</v>
      </c>
      <c r="F85" s="53" t="s">
        <v>371</v>
      </c>
      <c r="G85" s="54">
        <v>4.5999999999999996</v>
      </c>
      <c r="H85" s="55" t="s">
        <v>31</v>
      </c>
      <c r="I85" s="55">
        <v>2570</v>
      </c>
      <c r="J85" s="56">
        <v>46660</v>
      </c>
      <c r="K85" s="56">
        <v>46722</v>
      </c>
      <c r="L85" s="55" t="s">
        <v>133</v>
      </c>
      <c r="M85" s="55" t="s">
        <v>35</v>
      </c>
      <c r="N85" s="62" t="s">
        <v>36</v>
      </c>
      <c r="O85" s="63">
        <f t="shared" si="8"/>
        <v>393299.99999999994</v>
      </c>
      <c r="P85" s="63">
        <f t="shared" si="9"/>
        <v>254759.99999999994</v>
      </c>
      <c r="Q85" s="54" t="s">
        <v>787</v>
      </c>
      <c r="R85" s="30" t="s">
        <v>372</v>
      </c>
      <c r="S85" s="30" t="s">
        <v>373</v>
      </c>
      <c r="T85" s="54" t="s">
        <v>53</v>
      </c>
      <c r="U85" s="54"/>
      <c r="V85" s="54"/>
      <c r="W85" s="54">
        <f>AF85</f>
        <v>5.0599999999999987</v>
      </c>
      <c r="X85" s="54"/>
      <c r="Y85" s="54"/>
      <c r="Z85" s="72" cm="1">
        <f t="array" ref="Z85">_xlfn.LET(
_xlpm.a,IF(ISNUMBER($U85),$U85,IFERROR(_xlfn.NUMBERVALUE(TRIM($U85)),0)),
_xlpm.b,IF(ISNUMBER($V85),$V85,IFERROR(_xlfn.NUMBERVALUE(TRIM($V85)),0)),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85" s="72" cm="1">
        <f t="array" ref="AA85">_xlfn.IFS($W85=0,0,AND($W85&gt;0,$W85&lt;=0.5),2,AND($W85&gt;0.5,$W85&lt;=1),3,AND($W85&gt;1,$W85&lt;=1.5),4,AND($W85&gt;1.5,$W85&lt;=2),5,AND($W85&gt;2,$W85&lt;=3),6,AND($W85&gt;3,$W85&lt;=4),7,$W85&gt;4,8)</f>
        <v>8</v>
      </c>
      <c r="AB85" s="72" cm="1">
        <f t="array" ref="AB85">_xlfn.IFS($X85=0,0,AND($X85&gt;0,$X85&lt;=0.5),2,AND($X85&gt;0.5,$X85&lt;=1),3,AND($X85&gt;1,$X85&lt;=1.5),4,AND($X85&gt;1.5,$X85&lt;=2),5,AND($X85&gt;2,$X85&lt;=3),6,AND($X85&gt;3,$X85&lt;=4),7,$X85&gt;4,8)</f>
        <v>0</v>
      </c>
      <c r="AC85" s="72" cm="1">
        <f t="array" ref="AC85">_xlfn.IFS($Y85=0,0,AND($Y85&gt;0,$Y85&lt;=0.5),2,AND($Y85&gt;0.5,$Y85&lt;=1),3,AND($Y85&gt;1,$Y85&lt;=1.5),4,AND($Y85&gt;1.5,$Y85&lt;=2),5,AND($Y85&gt;2,$Y85&lt;=3),6,AND($Y85&gt;3,$Y85&lt;=4),7,$Y85&gt;4,8)</f>
        <v>0</v>
      </c>
      <c r="AD85" s="54">
        <v>4.3699999999999992</v>
      </c>
      <c r="AE85" s="54">
        <v>0.69</v>
      </c>
      <c r="AF85" s="54">
        <f t="shared" si="6"/>
        <v>5.0599999999999987</v>
      </c>
      <c r="AG85" s="55">
        <v>2571</v>
      </c>
      <c r="AH85" s="54" t="s">
        <v>41</v>
      </c>
    </row>
    <row r="86" spans="1:34" x14ac:dyDescent="0.2">
      <c r="A86" s="52">
        <v>83</v>
      </c>
      <c r="B86" s="52" t="s">
        <v>26</v>
      </c>
      <c r="C86" s="52" t="s">
        <v>27</v>
      </c>
      <c r="D86" s="52" t="s">
        <v>28</v>
      </c>
      <c r="E86" s="52" t="s">
        <v>374</v>
      </c>
      <c r="F86" s="53" t="s">
        <v>375</v>
      </c>
      <c r="G86" s="54">
        <v>14</v>
      </c>
      <c r="H86" s="55" t="s">
        <v>44</v>
      </c>
      <c r="I86" s="55">
        <v>2570</v>
      </c>
      <c r="J86" s="56">
        <v>46568</v>
      </c>
      <c r="K86" s="56">
        <v>46728</v>
      </c>
      <c r="L86" s="55" t="s">
        <v>133</v>
      </c>
      <c r="M86" s="55" t="s">
        <v>134</v>
      </c>
      <c r="N86" s="62" t="s">
        <v>36</v>
      </c>
      <c r="O86" s="63">
        <f t="shared" si="8"/>
        <v>1197000</v>
      </c>
      <c r="P86" s="63">
        <f t="shared" si="9"/>
        <v>770070</v>
      </c>
      <c r="Q86" s="54" t="s">
        <v>787</v>
      </c>
      <c r="R86" s="30" t="s">
        <v>376</v>
      </c>
      <c r="S86" s="30" t="s">
        <v>377</v>
      </c>
      <c r="T86" s="54" t="s">
        <v>53</v>
      </c>
      <c r="U86" s="54"/>
      <c r="V86" s="54"/>
      <c r="W86" s="54">
        <f>AF86</f>
        <v>15.399999999999999</v>
      </c>
      <c r="X86" s="54"/>
      <c r="Y86" s="54"/>
      <c r="Z86" s="72" cm="1">
        <f t="array" ref="Z86">_xlfn.LET(
_xlpm.a,IF(ISNUMBER($U86),$U86,IFERROR(_xlfn.NUMBERVALUE(TRIM($U86)),0)),
_xlpm.b,IF(ISNUMBER($V86),$V86,IFERROR(_xlfn.NUMBERVALUE(TRIM($V86)),0)),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86" s="72" cm="1">
        <f t="array" ref="AA86">_xlfn.IFS($W86=0,0,AND($W86&gt;0,$W86&lt;=0.5),2,AND($W86&gt;0.5,$W86&lt;=1),3,AND($W86&gt;1,$W86&lt;=1.5),4,AND($W86&gt;1.5,$W86&lt;=2),5,AND($W86&gt;2,$W86&lt;=3),6,AND($W86&gt;3,$W86&lt;=4),7,$W86&gt;4,8)</f>
        <v>8</v>
      </c>
      <c r="AB86" s="72" cm="1">
        <f t="array" ref="AB86">_xlfn.IFS($X86=0,0,AND($X86&gt;0,$X86&lt;=0.5),2,AND($X86&gt;0.5,$X86&lt;=1),3,AND($X86&gt;1,$X86&lt;=1.5),4,AND($X86&gt;1.5,$X86&lt;=2),5,AND($X86&gt;2,$X86&lt;=3),6,AND($X86&gt;3,$X86&lt;=4),7,$X86&gt;4,8)</f>
        <v>0</v>
      </c>
      <c r="AC86" s="72" cm="1">
        <f t="array" ref="AC86">_xlfn.IFS($Y86=0,0,AND($Y86&gt;0,$Y86&lt;=0.5),2,AND($Y86&gt;0.5,$Y86&lt;=1),3,AND($Y86&gt;1,$Y86&lt;=1.5),4,AND($Y86&gt;1.5,$Y86&lt;=2),5,AND($Y86&gt;2,$Y86&lt;=3),6,AND($Y86&gt;3,$Y86&lt;=4),7,$Y86&gt;4,8)</f>
        <v>0</v>
      </c>
      <c r="AD86" s="54">
        <v>13.299999999999999</v>
      </c>
      <c r="AE86" s="54">
        <v>2.1</v>
      </c>
      <c r="AF86" s="54">
        <f t="shared" si="6"/>
        <v>15.399999999999999</v>
      </c>
      <c r="AG86" s="55">
        <v>2571</v>
      </c>
      <c r="AH86" s="54" t="s">
        <v>41</v>
      </c>
    </row>
    <row r="87" spans="1:34" x14ac:dyDescent="0.2">
      <c r="A87" s="52">
        <v>84</v>
      </c>
      <c r="B87" s="52" t="s">
        <v>26</v>
      </c>
      <c r="C87" s="52" t="s">
        <v>27</v>
      </c>
      <c r="D87" s="52" t="s">
        <v>28</v>
      </c>
      <c r="E87" s="52" t="s">
        <v>378</v>
      </c>
      <c r="F87" s="53" t="s">
        <v>379</v>
      </c>
      <c r="G87" s="54">
        <v>2.2000000000000002</v>
      </c>
      <c r="H87" s="55" t="s">
        <v>56</v>
      </c>
      <c r="I87" s="55">
        <v>2570</v>
      </c>
      <c r="J87" s="56">
        <v>46660</v>
      </c>
      <c r="K87" s="56">
        <v>46728</v>
      </c>
      <c r="L87" s="55" t="s">
        <v>133</v>
      </c>
      <c r="M87" s="55" t="s">
        <v>35</v>
      </c>
      <c r="N87" s="62" t="s">
        <v>36</v>
      </c>
      <c r="O87" s="63">
        <f t="shared" si="8"/>
        <v>188100</v>
      </c>
      <c r="P87" s="63">
        <f t="shared" si="9"/>
        <v>121590</v>
      </c>
      <c r="Q87" s="54" t="s">
        <v>787</v>
      </c>
      <c r="R87" s="30" t="s">
        <v>380</v>
      </c>
      <c r="S87" s="30" t="s">
        <v>381</v>
      </c>
      <c r="T87" s="54" t="s">
        <v>53</v>
      </c>
      <c r="U87" s="54"/>
      <c r="V87" s="54"/>
      <c r="W87" s="54">
        <f>AF87</f>
        <v>2.42</v>
      </c>
      <c r="X87" s="54"/>
      <c r="Y87" s="54"/>
      <c r="Z87" s="72" cm="1">
        <f t="array" ref="Z87">_xlfn.LET(
_xlpm.a,IF(ISNUMBER($U87),$U87,IFERROR(_xlfn.NUMBERVALUE(TRIM($U87)),0)),
_xlpm.b,IF(ISNUMBER($V87),$V87,IFERROR(_xlfn.NUMBERVALUE(TRIM($V87)),0)),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87" s="72" cm="1">
        <f t="array" ref="AA87">_xlfn.IFS($W87=0,0,AND($W87&gt;0,$W87&lt;=0.5),2,AND($W87&gt;0.5,$W87&lt;=1),3,AND($W87&gt;1,$W87&lt;=1.5),4,AND($W87&gt;1.5,$W87&lt;=2),5,AND($W87&gt;2,$W87&lt;=3),6,AND($W87&gt;3,$W87&lt;=4),7,$W87&gt;4,8)</f>
        <v>6</v>
      </c>
      <c r="AB87" s="72" cm="1">
        <f t="array" ref="AB87">_xlfn.IFS($X87=0,0,AND($X87&gt;0,$X87&lt;=0.5),2,AND($X87&gt;0.5,$X87&lt;=1),3,AND($X87&gt;1,$X87&lt;=1.5),4,AND($X87&gt;1.5,$X87&lt;=2),5,AND($X87&gt;2,$X87&lt;=3),6,AND($X87&gt;3,$X87&lt;=4),7,$X87&gt;4,8)</f>
        <v>0</v>
      </c>
      <c r="AC87" s="72" cm="1">
        <f t="array" ref="AC87">_xlfn.IFS($Y87=0,0,AND($Y87&gt;0,$Y87&lt;=0.5),2,AND($Y87&gt;0.5,$Y87&lt;=1),3,AND($Y87&gt;1,$Y87&lt;=1.5),4,AND($Y87&gt;1.5,$Y87&lt;=2),5,AND($Y87&gt;2,$Y87&lt;=3),6,AND($Y87&gt;3,$Y87&lt;=4),7,$Y87&gt;4,8)</f>
        <v>0</v>
      </c>
      <c r="AD87" s="54">
        <v>2.09</v>
      </c>
      <c r="AE87" s="54">
        <v>0.33</v>
      </c>
      <c r="AF87" s="54">
        <f t="shared" si="6"/>
        <v>2.42</v>
      </c>
      <c r="AG87" s="55">
        <v>2571</v>
      </c>
      <c r="AH87" s="54" t="s">
        <v>41</v>
      </c>
    </row>
    <row r="88" spans="1:34" x14ac:dyDescent="0.2">
      <c r="A88" s="52">
        <v>85</v>
      </c>
      <c r="B88" s="52" t="s">
        <v>26</v>
      </c>
      <c r="C88" s="52" t="s">
        <v>122</v>
      </c>
      <c r="D88" s="52" t="s">
        <v>28</v>
      </c>
      <c r="E88" s="93" t="s">
        <v>812</v>
      </c>
      <c r="F88" s="53" t="s">
        <v>351</v>
      </c>
      <c r="G88" s="54">
        <v>2.6</v>
      </c>
      <c r="H88" s="55" t="s">
        <v>56</v>
      </c>
      <c r="I88" s="55">
        <v>2570</v>
      </c>
      <c r="J88" s="56">
        <v>46295</v>
      </c>
      <c r="K88" s="56">
        <v>46679</v>
      </c>
      <c r="L88" s="55" t="s">
        <v>133</v>
      </c>
      <c r="M88" s="55" t="s">
        <v>35</v>
      </c>
      <c r="N88" s="62" t="s">
        <v>71</v>
      </c>
      <c r="O88" s="63">
        <f t="shared" si="8"/>
        <v>531050</v>
      </c>
      <c r="P88" s="63">
        <f t="shared" si="9"/>
        <v>289500</v>
      </c>
      <c r="Q88" s="54" t="s">
        <v>787</v>
      </c>
      <c r="R88" s="30" t="s">
        <v>382</v>
      </c>
      <c r="S88" s="30" t="s">
        <v>383</v>
      </c>
      <c r="T88" s="54" t="s">
        <v>40</v>
      </c>
      <c r="U88" s="54"/>
      <c r="V88" s="54"/>
      <c r="W88" s="54"/>
      <c r="X88" s="54">
        <f>AF88</f>
        <v>2.86</v>
      </c>
      <c r="Y88" s="54"/>
      <c r="Z88" s="72" cm="1">
        <f t="array" ref="Z88">_xlfn.LET(
_xlpm.a,IF(ISNUMBER($U88),$U88,IFERROR(_xlfn.NUMBERVALUE(TRIM($U88)),0)),
_xlpm.b,IF(ISNUMBER($V88),$V88,IFERROR(_xlfn.NUMBERVALUE(TRIM($V88)),0)),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88" s="72" cm="1">
        <f t="array" ref="AA88">_xlfn.IFS($W88=0,0,AND($W88&gt;0,$W88&lt;=0.5),2,AND($W88&gt;0.5,$W88&lt;=1),3,AND($W88&gt;1,$W88&lt;=1.5),4,AND($W88&gt;1.5,$W88&lt;=2),5,AND($W88&gt;2,$W88&lt;=3),6,AND($W88&gt;3,$W88&lt;=4),7,$W88&gt;4,8)</f>
        <v>0</v>
      </c>
      <c r="AB88" s="72" cm="1">
        <f t="array" ref="AB88">_xlfn.IFS($X88=0,0,AND($X88&gt;0,$X88&lt;=0.5),2,AND($X88&gt;0.5,$X88&lt;=1),3,AND($X88&gt;1,$X88&lt;=1.5),4,AND($X88&gt;1.5,$X88&lt;=2),5,AND($X88&gt;2,$X88&lt;=3),6,AND($X88&gt;3,$X88&lt;=4),7,$X88&gt;4,8)</f>
        <v>6</v>
      </c>
      <c r="AC88" s="72" cm="1">
        <f t="array" ref="AC88">_xlfn.IFS($Y88=0,0,AND($Y88&gt;0,$Y88&lt;=0.5),2,AND($Y88&gt;0.5,$Y88&lt;=1),3,AND($Y88&gt;1,$Y88&lt;=1.5),4,AND($Y88&gt;1.5,$Y88&lt;=2),5,AND($Y88&gt;2,$Y88&lt;=3),6,AND($Y88&gt;3,$Y88&lt;=4),7,$Y88&gt;4,8)</f>
        <v>0</v>
      </c>
      <c r="AD88" s="54">
        <v>2.4699999999999998</v>
      </c>
      <c r="AE88" s="54">
        <v>0.39</v>
      </c>
      <c r="AF88" s="54">
        <f t="shared" si="6"/>
        <v>2.86</v>
      </c>
      <c r="AG88" s="55">
        <v>2571</v>
      </c>
      <c r="AH88" s="54" t="s">
        <v>59</v>
      </c>
    </row>
    <row r="89" spans="1:34" x14ac:dyDescent="0.2">
      <c r="A89" s="52">
        <v>86</v>
      </c>
      <c r="B89" s="52" t="s">
        <v>26</v>
      </c>
      <c r="C89" s="52" t="s">
        <v>27</v>
      </c>
      <c r="D89" s="52" t="s">
        <v>28</v>
      </c>
      <c r="E89" s="52" t="s">
        <v>384</v>
      </c>
      <c r="F89" s="53" t="s">
        <v>385</v>
      </c>
      <c r="G89" s="54">
        <v>1.8</v>
      </c>
      <c r="H89" s="55" t="s">
        <v>31</v>
      </c>
      <c r="I89" s="55">
        <v>2571</v>
      </c>
      <c r="J89" s="56">
        <v>46568</v>
      </c>
      <c r="K89" s="56">
        <v>46783</v>
      </c>
      <c r="L89" s="55" t="s">
        <v>133</v>
      </c>
      <c r="M89" s="55" t="s">
        <v>35</v>
      </c>
      <c r="N89" s="62" t="s">
        <v>71</v>
      </c>
      <c r="O89" s="63">
        <f t="shared" si="8"/>
        <v>367650</v>
      </c>
      <c r="P89" s="63">
        <f t="shared" si="9"/>
        <v>208440</v>
      </c>
      <c r="Q89" s="54" t="s">
        <v>787</v>
      </c>
      <c r="R89" s="30" t="s">
        <v>386</v>
      </c>
      <c r="S89" s="30" t="s">
        <v>387</v>
      </c>
      <c r="T89" s="54" t="s">
        <v>40</v>
      </c>
      <c r="U89" s="54"/>
      <c r="V89" s="54"/>
      <c r="W89" s="54"/>
      <c r="X89" s="54">
        <f>AF89</f>
        <v>1.98</v>
      </c>
      <c r="Y89" s="54"/>
      <c r="Z89" s="72" cm="1">
        <f t="array" ref="Z89">_xlfn.LET(
_xlpm.a,IF(ISNUMBER($U89),$U89,IFERROR(_xlfn.NUMBERVALUE(TRIM($U89)),0)),
_xlpm.b,IF(ISNUMBER($V89),$V89,IFERROR(_xlfn.NUMBERVALUE(TRIM($V89)),0)),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89" s="72" cm="1">
        <f t="array" ref="AA89">_xlfn.IFS($W89=0,0,AND($W89&gt;0,$W89&lt;=0.5),2,AND($W89&gt;0.5,$W89&lt;=1),3,AND($W89&gt;1,$W89&lt;=1.5),4,AND($W89&gt;1.5,$W89&lt;=2),5,AND($W89&gt;2,$W89&lt;=3),6,AND($W89&gt;3,$W89&lt;=4),7,$W89&gt;4,8)</f>
        <v>0</v>
      </c>
      <c r="AB89" s="72" cm="1">
        <f t="array" ref="AB89">_xlfn.IFS($X89=0,0,AND($X89&gt;0,$X89&lt;=0.5),2,AND($X89&gt;0.5,$X89&lt;=1),3,AND($X89&gt;1,$X89&lt;=1.5),4,AND($X89&gt;1.5,$X89&lt;=2),5,AND($X89&gt;2,$X89&lt;=3),6,AND($X89&gt;3,$X89&lt;=4),7,$X89&gt;4,8)</f>
        <v>5</v>
      </c>
      <c r="AC89" s="72" cm="1">
        <f t="array" ref="AC89">_xlfn.IFS($Y89=0,0,AND($Y89&gt;0,$Y89&lt;=0.5),2,AND($Y89&gt;0.5,$Y89&lt;=1),3,AND($Y89&gt;1,$Y89&lt;=1.5),4,AND($Y89&gt;1.5,$Y89&lt;=2),5,AND($Y89&gt;2,$Y89&lt;=3),6,AND($Y89&gt;3,$Y89&lt;=4),7,$Y89&gt;4,8)</f>
        <v>0</v>
      </c>
      <c r="AD89" s="54">
        <v>1.71</v>
      </c>
      <c r="AE89" s="54">
        <v>0.27</v>
      </c>
      <c r="AF89" s="54">
        <f t="shared" si="6"/>
        <v>1.98</v>
      </c>
      <c r="AG89" s="55">
        <v>2571</v>
      </c>
      <c r="AH89" s="54" t="s">
        <v>59</v>
      </c>
    </row>
    <row r="90" spans="1:34" x14ac:dyDescent="0.2">
      <c r="A90" s="52">
        <v>87</v>
      </c>
      <c r="B90" s="52" t="s">
        <v>26</v>
      </c>
      <c r="C90" s="52" t="s">
        <v>27</v>
      </c>
      <c r="D90" s="52" t="s">
        <v>28</v>
      </c>
      <c r="E90" s="52" t="s">
        <v>388</v>
      </c>
      <c r="F90" s="53" t="s">
        <v>389</v>
      </c>
      <c r="G90" s="54">
        <v>13</v>
      </c>
      <c r="H90" s="55" t="s">
        <v>56</v>
      </c>
      <c r="I90" s="55">
        <v>2571</v>
      </c>
      <c r="J90" s="56">
        <v>46660</v>
      </c>
      <c r="K90" s="56">
        <v>46783</v>
      </c>
      <c r="L90" s="55" t="s">
        <v>133</v>
      </c>
      <c r="M90" s="55" t="s">
        <v>35</v>
      </c>
      <c r="N90" s="62" t="s">
        <v>36</v>
      </c>
      <c r="O90" s="63">
        <f t="shared" si="8"/>
        <v>1327625</v>
      </c>
      <c r="P90" s="63">
        <f t="shared" si="9"/>
        <v>717960</v>
      </c>
      <c r="Q90" s="54" t="s">
        <v>787</v>
      </c>
      <c r="R90" s="30" t="s">
        <v>390</v>
      </c>
      <c r="S90" s="30" t="s">
        <v>391</v>
      </c>
      <c r="T90" s="54" t="s">
        <v>40</v>
      </c>
      <c r="U90" s="54"/>
      <c r="V90" s="54"/>
      <c r="W90" s="54"/>
      <c r="X90" s="54">
        <f>AF90</f>
        <v>14.299999999999999</v>
      </c>
      <c r="Y90" s="54"/>
      <c r="Z90" s="72" cm="1">
        <f t="array" ref="Z90">_xlfn.LET(
_xlpm.a,IF(ISNUMBER($U90),$U90,IFERROR(_xlfn.NUMBERVALUE(TRIM($U90)),0)),
_xlpm.b,IF(ISNUMBER($V90),$V90,IFERROR(_xlfn.NUMBERVALUE(TRIM($V90)),0)),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90" s="72" cm="1">
        <f t="array" ref="AA90">_xlfn.IFS($W90=0,0,AND($W90&gt;0,$W90&lt;=0.5),2,AND($W90&gt;0.5,$W90&lt;=1),3,AND($W90&gt;1,$W90&lt;=1.5),4,AND($W90&gt;1.5,$W90&lt;=2),5,AND($W90&gt;2,$W90&lt;=3),6,AND($W90&gt;3,$W90&lt;=4),7,$W90&gt;4,8)</f>
        <v>0</v>
      </c>
      <c r="AB90" s="72" cm="1">
        <f t="array" ref="AB90">_xlfn.IFS($X90=0,0,AND($X90&gt;0,$X90&lt;=0.5),2,AND($X90&gt;0.5,$X90&lt;=1),3,AND($X90&gt;1,$X90&lt;=1.5),4,AND($X90&gt;1.5,$X90&lt;=2),5,AND($X90&gt;2,$X90&lt;=3),6,AND($X90&gt;3,$X90&lt;=4),7,$X90&gt;4,8)</f>
        <v>8</v>
      </c>
      <c r="AC90" s="72" cm="1">
        <f t="array" ref="AC90">_xlfn.IFS($Y90=0,0,AND($Y90&gt;0,$Y90&lt;=0.5),2,AND($Y90&gt;0.5,$Y90&lt;=1),3,AND($Y90&gt;1,$Y90&lt;=1.5),4,AND($Y90&gt;1.5,$Y90&lt;=2),5,AND($Y90&gt;2,$Y90&lt;=3),6,AND($Y90&gt;3,$Y90&lt;=4),7,$Y90&gt;4,8)</f>
        <v>0</v>
      </c>
      <c r="AD90" s="54">
        <v>12.35</v>
      </c>
      <c r="AE90" s="54">
        <v>1.95</v>
      </c>
      <c r="AF90" s="54">
        <f t="shared" si="6"/>
        <v>14.299999999999999</v>
      </c>
      <c r="AG90" s="55">
        <v>2571</v>
      </c>
      <c r="AH90" s="54" t="s">
        <v>59</v>
      </c>
    </row>
    <row r="91" spans="1:34" x14ac:dyDescent="0.2">
      <c r="A91" s="52">
        <v>88</v>
      </c>
      <c r="B91" s="52" t="s">
        <v>26</v>
      </c>
      <c r="C91" s="52" t="s">
        <v>122</v>
      </c>
      <c r="D91" s="52" t="s">
        <v>28</v>
      </c>
      <c r="E91" s="52" t="s">
        <v>392</v>
      </c>
      <c r="F91" s="53" t="s">
        <v>393</v>
      </c>
      <c r="G91" s="54">
        <v>14</v>
      </c>
      <c r="H91" s="55" t="s">
        <v>44</v>
      </c>
      <c r="I91" s="55">
        <v>2571</v>
      </c>
      <c r="J91" s="56">
        <v>46690</v>
      </c>
      <c r="K91" s="56">
        <v>46811</v>
      </c>
      <c r="L91" s="55" t="s">
        <v>133</v>
      </c>
      <c r="M91" s="55" t="s">
        <v>35</v>
      </c>
      <c r="N91" s="62" t="s">
        <v>36</v>
      </c>
      <c r="O91" s="63">
        <f t="shared" si="8"/>
        <v>1429750</v>
      </c>
      <c r="P91" s="63">
        <f t="shared" si="9"/>
        <v>770070</v>
      </c>
      <c r="Q91" s="54" t="s">
        <v>787</v>
      </c>
      <c r="R91" s="30" t="s">
        <v>394</v>
      </c>
      <c r="S91" s="30" t="s">
        <v>395</v>
      </c>
      <c r="T91" s="54" t="s">
        <v>40</v>
      </c>
      <c r="U91" s="54"/>
      <c r="V91" s="54"/>
      <c r="W91" s="54"/>
      <c r="X91" s="54">
        <f>AF91</f>
        <v>15.399999999999999</v>
      </c>
      <c r="Y91" s="54"/>
      <c r="Z91" s="72" cm="1">
        <f t="array" ref="Z91">_xlfn.LET(
_xlpm.a,IF(ISNUMBER($U91),$U91,IFERROR(_xlfn.NUMBERVALUE(TRIM($U91)),0)),
_xlpm.b,IF(ISNUMBER($V91),$V91,IFERROR(_xlfn.NUMBERVALUE(TRIM($V91)),0)),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91" s="72" cm="1">
        <f t="array" ref="AA91">_xlfn.IFS($W91=0,0,AND($W91&gt;0,$W91&lt;=0.5),2,AND($W91&gt;0.5,$W91&lt;=1),3,AND($W91&gt;1,$W91&lt;=1.5),4,AND($W91&gt;1.5,$W91&lt;=2),5,AND($W91&gt;2,$W91&lt;=3),6,AND($W91&gt;3,$W91&lt;=4),7,$W91&gt;4,8)</f>
        <v>0</v>
      </c>
      <c r="AB91" s="72" cm="1">
        <f t="array" ref="AB91">_xlfn.IFS($X91=0,0,AND($X91&gt;0,$X91&lt;=0.5),2,AND($X91&gt;0.5,$X91&lt;=1),3,AND($X91&gt;1,$X91&lt;=1.5),4,AND($X91&gt;1.5,$X91&lt;=2),5,AND($X91&gt;2,$X91&lt;=3),6,AND($X91&gt;3,$X91&lt;=4),7,$X91&gt;4,8)</f>
        <v>8</v>
      </c>
      <c r="AC91" s="72" cm="1">
        <f t="array" ref="AC91">_xlfn.IFS($Y91=0,0,AND($Y91&gt;0,$Y91&lt;=0.5),2,AND($Y91&gt;0.5,$Y91&lt;=1),3,AND($Y91&gt;1,$Y91&lt;=1.5),4,AND($Y91&gt;1.5,$Y91&lt;=2),5,AND($Y91&gt;2,$Y91&lt;=3),6,AND($Y91&gt;3,$Y91&lt;=4),7,$Y91&gt;4,8)</f>
        <v>0</v>
      </c>
      <c r="AD91" s="54">
        <v>13.299999999999999</v>
      </c>
      <c r="AE91" s="54">
        <v>2.1</v>
      </c>
      <c r="AF91" s="54">
        <f t="shared" si="6"/>
        <v>15.399999999999999</v>
      </c>
      <c r="AG91" s="55">
        <v>2571</v>
      </c>
      <c r="AH91" s="54" t="s">
        <v>59</v>
      </c>
    </row>
    <row r="92" spans="1:34" x14ac:dyDescent="0.2">
      <c r="A92" s="52">
        <v>89</v>
      </c>
      <c r="B92" s="52" t="s">
        <v>26</v>
      </c>
      <c r="C92" s="52" t="s">
        <v>122</v>
      </c>
      <c r="D92" s="52" t="s">
        <v>28</v>
      </c>
      <c r="E92" s="52" t="s">
        <v>396</v>
      </c>
      <c r="F92" s="53" t="s">
        <v>397</v>
      </c>
      <c r="G92" s="54">
        <v>2.8</v>
      </c>
      <c r="H92" s="55" t="s">
        <v>56</v>
      </c>
      <c r="I92" s="55">
        <v>2571</v>
      </c>
      <c r="J92" s="56">
        <v>46660</v>
      </c>
      <c r="K92" s="56">
        <v>46811</v>
      </c>
      <c r="L92" s="55" t="s">
        <v>133</v>
      </c>
      <c r="M92" s="55" t="s">
        <v>35</v>
      </c>
      <c r="N92" s="62" t="s">
        <v>71</v>
      </c>
      <c r="O92" s="63">
        <f t="shared" si="8"/>
        <v>571899.99999999988</v>
      </c>
      <c r="P92" s="63">
        <f t="shared" si="9"/>
        <v>312660</v>
      </c>
      <c r="Q92" s="54" t="s">
        <v>787</v>
      </c>
      <c r="R92" s="30" t="s">
        <v>398</v>
      </c>
      <c r="S92" s="30" t="s">
        <v>399</v>
      </c>
      <c r="T92" s="54" t="s">
        <v>40</v>
      </c>
      <c r="U92" s="54"/>
      <c r="V92" s="54"/>
      <c r="W92" s="54"/>
      <c r="X92" s="54">
        <f>AF92</f>
        <v>3.0799999999999996</v>
      </c>
      <c r="Y92" s="54"/>
      <c r="Z92" s="72" cm="1">
        <f t="array" ref="Z92">_xlfn.LET(
_xlpm.a,IF(ISNUMBER($U92),$U92,IFERROR(_xlfn.NUMBERVALUE(TRIM($U92)),0)),
_xlpm.b,IF(ISNUMBER($V92),$V92,IFERROR(_xlfn.NUMBERVALUE(TRIM($V92)),0)),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92" s="72" cm="1">
        <f t="array" ref="AA92">_xlfn.IFS($W92=0,0,AND($W92&gt;0,$W92&lt;=0.5),2,AND($W92&gt;0.5,$W92&lt;=1),3,AND($W92&gt;1,$W92&lt;=1.5),4,AND($W92&gt;1.5,$W92&lt;=2),5,AND($W92&gt;2,$W92&lt;=3),6,AND($W92&gt;3,$W92&lt;=4),7,$W92&gt;4,8)</f>
        <v>0</v>
      </c>
      <c r="AB92" s="72" cm="1">
        <f t="array" ref="AB92">_xlfn.IFS($X92=0,0,AND($X92&gt;0,$X92&lt;=0.5),2,AND($X92&gt;0.5,$X92&lt;=1),3,AND($X92&gt;1,$X92&lt;=1.5),4,AND($X92&gt;1.5,$X92&lt;=2),5,AND($X92&gt;2,$X92&lt;=3),6,AND($X92&gt;3,$X92&lt;=4),7,$X92&gt;4,8)</f>
        <v>7</v>
      </c>
      <c r="AC92" s="72" cm="1">
        <f t="array" ref="AC92">_xlfn.IFS($Y92=0,0,AND($Y92&gt;0,$Y92&lt;=0.5),2,AND($Y92&gt;0.5,$Y92&lt;=1),3,AND($Y92&gt;1,$Y92&lt;=1.5),4,AND($Y92&gt;1.5,$Y92&lt;=2),5,AND($Y92&gt;2,$Y92&lt;=3),6,AND($Y92&gt;3,$Y92&lt;=4),7,$Y92&gt;4,8)</f>
        <v>0</v>
      </c>
      <c r="AD92" s="54">
        <v>2.6599999999999997</v>
      </c>
      <c r="AE92" s="54">
        <v>0.42</v>
      </c>
      <c r="AF92" s="54">
        <f t="shared" si="6"/>
        <v>3.0799999999999996</v>
      </c>
      <c r="AG92" s="55">
        <v>2571</v>
      </c>
      <c r="AH92" s="54" t="s">
        <v>59</v>
      </c>
    </row>
    <row r="93" spans="1:34" x14ac:dyDescent="0.2">
      <c r="A93" s="52">
        <v>90</v>
      </c>
      <c r="B93" s="52" t="s">
        <v>26</v>
      </c>
      <c r="C93" s="52" t="s">
        <v>213</v>
      </c>
      <c r="D93" s="52" t="s">
        <v>28</v>
      </c>
      <c r="E93" s="52" t="s">
        <v>400</v>
      </c>
      <c r="F93" s="53" t="s">
        <v>401</v>
      </c>
      <c r="G93" s="54">
        <v>8</v>
      </c>
      <c r="H93" s="55" t="s">
        <v>118</v>
      </c>
      <c r="I93" s="55">
        <v>2571</v>
      </c>
      <c r="J93" s="56">
        <v>46691</v>
      </c>
      <c r="K93" s="56">
        <v>46832</v>
      </c>
      <c r="L93" s="55" t="s">
        <v>133</v>
      </c>
      <c r="M93" s="55" t="s">
        <v>35</v>
      </c>
      <c r="N93" s="62" t="s">
        <v>36</v>
      </c>
      <c r="O93" s="63">
        <f t="shared" si="8"/>
        <v>684000</v>
      </c>
      <c r="P93" s="63">
        <f t="shared" si="9"/>
        <v>440040</v>
      </c>
      <c r="Q93" s="54" t="s">
        <v>787</v>
      </c>
      <c r="R93" s="30" t="s">
        <v>402</v>
      </c>
      <c r="S93" s="30" t="s">
        <v>403</v>
      </c>
      <c r="T93" s="54" t="s">
        <v>53</v>
      </c>
      <c r="U93" s="54"/>
      <c r="V93" s="54"/>
      <c r="W93" s="54">
        <f>AF93</f>
        <v>8.7999999999999989</v>
      </c>
      <c r="X93" s="54"/>
      <c r="Y93" s="54"/>
      <c r="Z93" s="72" cm="1">
        <f t="array" ref="Z93">_xlfn.LET(
_xlpm.a,IF(ISNUMBER($U93),$U93,IFERROR(_xlfn.NUMBERVALUE(TRIM($U93)),0)),
_xlpm.b,IF(ISNUMBER($V93),$V93,IFERROR(_xlfn.NUMBERVALUE(TRIM($V93)),0)),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93" s="72" cm="1">
        <f t="array" ref="AA93">_xlfn.IFS($W93=0,0,AND($W93&gt;0,$W93&lt;=0.5),2,AND($W93&gt;0.5,$W93&lt;=1),3,AND($W93&gt;1,$W93&lt;=1.5),4,AND($W93&gt;1.5,$W93&lt;=2),5,AND($W93&gt;2,$W93&lt;=3),6,AND($W93&gt;3,$W93&lt;=4),7,$W93&gt;4,8)</f>
        <v>8</v>
      </c>
      <c r="AB93" s="72" cm="1">
        <f t="array" ref="AB93">_xlfn.IFS($X93=0,0,AND($X93&gt;0,$X93&lt;=0.5),2,AND($X93&gt;0.5,$X93&lt;=1),3,AND($X93&gt;1,$X93&lt;=1.5),4,AND($X93&gt;1.5,$X93&lt;=2),5,AND($X93&gt;2,$X93&lt;=3),6,AND($X93&gt;3,$X93&lt;=4),7,$X93&gt;4,8)</f>
        <v>0</v>
      </c>
      <c r="AC93" s="72" cm="1">
        <f t="array" ref="AC93">_xlfn.IFS($Y93=0,0,AND($Y93&gt;0,$Y93&lt;=0.5),2,AND($Y93&gt;0.5,$Y93&lt;=1),3,AND($Y93&gt;1,$Y93&lt;=1.5),4,AND($Y93&gt;1.5,$Y93&lt;=2),5,AND($Y93&gt;2,$Y93&lt;=3),6,AND($Y93&gt;3,$Y93&lt;=4),7,$Y93&gt;4,8)</f>
        <v>0</v>
      </c>
      <c r="AD93" s="54">
        <v>7.6</v>
      </c>
      <c r="AE93" s="54">
        <v>1.2</v>
      </c>
      <c r="AF93" s="54">
        <f t="shared" si="6"/>
        <v>8.7999999999999989</v>
      </c>
      <c r="AG93" s="55">
        <v>2571</v>
      </c>
      <c r="AH93" s="54" t="s">
        <v>41</v>
      </c>
    </row>
    <row r="94" spans="1:34" x14ac:dyDescent="0.2">
      <c r="A94" s="52">
        <v>91</v>
      </c>
      <c r="B94" s="52" t="s">
        <v>26</v>
      </c>
      <c r="C94" s="52" t="s">
        <v>27</v>
      </c>
      <c r="D94" s="52" t="s">
        <v>28</v>
      </c>
      <c r="E94" s="52" t="s">
        <v>404</v>
      </c>
      <c r="F94" s="53" t="s">
        <v>405</v>
      </c>
      <c r="G94" s="54">
        <v>15.2</v>
      </c>
      <c r="H94" s="55" t="s">
        <v>44</v>
      </c>
      <c r="I94" s="55">
        <v>2571</v>
      </c>
      <c r="J94" s="56">
        <v>46752</v>
      </c>
      <c r="K94" s="56">
        <v>46869</v>
      </c>
      <c r="L94" s="55" t="s">
        <v>133</v>
      </c>
      <c r="M94" s="55" t="s">
        <v>35</v>
      </c>
      <c r="N94" s="62" t="s">
        <v>36</v>
      </c>
      <c r="O94" s="63">
        <f t="shared" si="8"/>
        <v>917999.99999999988</v>
      </c>
      <c r="P94" s="63">
        <f t="shared" si="9"/>
        <v>590580</v>
      </c>
      <c r="Q94" s="54" t="s">
        <v>787</v>
      </c>
      <c r="R94" s="30" t="s">
        <v>406</v>
      </c>
      <c r="S94" s="30" t="s">
        <v>407</v>
      </c>
      <c r="T94" s="54" t="s">
        <v>53</v>
      </c>
      <c r="U94" s="54"/>
      <c r="V94" s="54"/>
      <c r="W94" s="54">
        <f>AF94</f>
        <v>12.479999999999999</v>
      </c>
      <c r="X94" s="54"/>
      <c r="Y94" s="54"/>
      <c r="Z94" s="72" cm="1">
        <f t="array" ref="Z94">_xlfn.LET(
_xlpm.a,IF(ISNUMBER($U94),$U94,IFERROR(_xlfn.NUMBERVALUE(TRIM($U94)),0)),
_xlpm.b,IF(ISNUMBER($V94),$V94,IFERROR(_xlfn.NUMBERVALUE(TRIM($V94)),0)),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94" s="72" cm="1">
        <f t="array" ref="AA94">_xlfn.IFS($W94=0,0,AND($W94&gt;0,$W94&lt;=0.5),2,AND($W94&gt;0.5,$W94&lt;=1),3,AND($W94&gt;1,$W94&lt;=1.5),4,AND($W94&gt;1.5,$W94&lt;=2),5,AND($W94&gt;2,$W94&lt;=3),6,AND($W94&gt;3,$W94&lt;=4),7,$W94&gt;4,8)</f>
        <v>8</v>
      </c>
      <c r="AB94" s="72" cm="1">
        <f t="array" ref="AB94">_xlfn.IFS($X94=0,0,AND($X94&gt;0,$X94&lt;=0.5),2,AND($X94&gt;0.5,$X94&lt;=1),3,AND($X94&gt;1,$X94&lt;=1.5),4,AND($X94&gt;1.5,$X94&lt;=2),5,AND($X94&gt;2,$X94&lt;=3),6,AND($X94&gt;3,$X94&lt;=4),7,$X94&gt;4,8)</f>
        <v>0</v>
      </c>
      <c r="AC94" s="72" cm="1">
        <f t="array" ref="AC94">_xlfn.IFS($Y94=0,0,AND($Y94&gt;0,$Y94&lt;=0.5),2,AND($Y94&gt;0.5,$Y94&lt;=1),3,AND($Y94&gt;1,$Y94&lt;=1.5),4,AND($Y94&gt;1.5,$Y94&lt;=2),5,AND($Y94&gt;2,$Y94&lt;=3),6,AND($Y94&gt;3,$Y94&lt;=4),7,$Y94&gt;4,8)</f>
        <v>0</v>
      </c>
      <c r="AD94" s="54">
        <v>10.199999999999999</v>
      </c>
      <c r="AE94" s="54">
        <v>2.2799999999999998</v>
      </c>
      <c r="AF94" s="54">
        <f t="shared" si="6"/>
        <v>12.479999999999999</v>
      </c>
      <c r="AG94" s="55">
        <v>2571</v>
      </c>
      <c r="AH94" s="54" t="s">
        <v>41</v>
      </c>
    </row>
    <row r="95" spans="1:34" x14ac:dyDescent="0.2">
      <c r="A95" s="52">
        <v>92</v>
      </c>
      <c r="B95" s="52" t="s">
        <v>26</v>
      </c>
      <c r="C95" s="52" t="s">
        <v>27</v>
      </c>
      <c r="D95" s="52" t="s">
        <v>28</v>
      </c>
      <c r="E95" s="52" t="s">
        <v>408</v>
      </c>
      <c r="F95" s="53" t="s">
        <v>409</v>
      </c>
      <c r="G95" s="54">
        <v>22</v>
      </c>
      <c r="H95" s="55" t="s">
        <v>118</v>
      </c>
      <c r="I95" s="55">
        <v>2571</v>
      </c>
      <c r="J95" s="56">
        <v>46752</v>
      </c>
      <c r="K95" s="56">
        <v>46965</v>
      </c>
      <c r="L95" s="55" t="s">
        <v>133</v>
      </c>
      <c r="M95" s="55" t="s">
        <v>35</v>
      </c>
      <c r="N95" s="62" t="s">
        <v>36</v>
      </c>
      <c r="O95" s="63">
        <f t="shared" si="8"/>
        <v>1612500</v>
      </c>
      <c r="P95" s="63">
        <f t="shared" si="9"/>
        <v>868500</v>
      </c>
      <c r="Q95" s="54" t="s">
        <v>787</v>
      </c>
      <c r="R95" s="30" t="s">
        <v>410</v>
      </c>
      <c r="S95" s="30" t="s">
        <v>411</v>
      </c>
      <c r="T95" s="54" t="s">
        <v>40</v>
      </c>
      <c r="U95" s="54"/>
      <c r="V95" s="54"/>
      <c r="W95" s="54"/>
      <c r="X95" s="54">
        <f>AF95</f>
        <v>18.3</v>
      </c>
      <c r="Y95" s="54"/>
      <c r="Z95" s="72" cm="1">
        <f t="array" ref="Z95">_xlfn.LET(
_xlpm.a,IF(ISNUMBER($U95),$U95,IFERROR(_xlfn.NUMBERVALUE(TRIM($U95)),0)),
_xlpm.b,IF(ISNUMBER($V95),$V95,IFERROR(_xlfn.NUMBERVALUE(TRIM($V95)),0)),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95" s="72" cm="1">
        <f t="array" ref="AA95">_xlfn.IFS($W95=0,0,AND($W95&gt;0,$W95&lt;=0.5),2,AND($W95&gt;0.5,$W95&lt;=1),3,AND($W95&gt;1,$W95&lt;=1.5),4,AND($W95&gt;1.5,$W95&lt;=2),5,AND($W95&gt;2,$W95&lt;=3),6,AND($W95&gt;3,$W95&lt;=4),7,$W95&gt;4,8)</f>
        <v>0</v>
      </c>
      <c r="AB95" s="72" cm="1">
        <f t="array" ref="AB95">_xlfn.IFS($X95=0,0,AND($X95&gt;0,$X95&lt;=0.5),2,AND($X95&gt;0.5,$X95&lt;=1),3,AND($X95&gt;1,$X95&lt;=1.5),4,AND($X95&gt;1.5,$X95&lt;=2),5,AND($X95&gt;2,$X95&lt;=3),6,AND($X95&gt;3,$X95&lt;=4),7,$X95&gt;4,8)</f>
        <v>8</v>
      </c>
      <c r="AC95" s="72" cm="1">
        <f t="array" ref="AC95">_xlfn.IFS($Y95=0,0,AND($Y95&gt;0,$Y95&lt;=0.5),2,AND($Y95&gt;0.5,$Y95&lt;=1),3,AND($Y95&gt;1,$Y95&lt;=1.5),4,AND($Y95&gt;1.5,$Y95&lt;=2),5,AND($Y95&gt;2,$Y95&lt;=3),6,AND($Y95&gt;3,$Y95&lt;=4),7,$Y95&gt;4,8)</f>
        <v>0</v>
      </c>
      <c r="AD95" s="54">
        <v>15</v>
      </c>
      <c r="AE95" s="54">
        <v>3.3</v>
      </c>
      <c r="AF95" s="54">
        <f t="shared" si="6"/>
        <v>18.3</v>
      </c>
      <c r="AG95" s="55">
        <v>2571</v>
      </c>
      <c r="AH95" s="54" t="s">
        <v>59</v>
      </c>
    </row>
    <row r="96" spans="1:34" x14ac:dyDescent="0.2">
      <c r="A96" s="52">
        <v>93</v>
      </c>
      <c r="B96" s="52" t="s">
        <v>26</v>
      </c>
      <c r="C96" s="52" t="s">
        <v>27</v>
      </c>
      <c r="D96" s="52" t="s">
        <v>28</v>
      </c>
      <c r="E96" s="52" t="s">
        <v>412</v>
      </c>
      <c r="F96" s="53" t="s">
        <v>413</v>
      </c>
      <c r="G96" s="54">
        <v>2</v>
      </c>
      <c r="H96" s="55" t="s">
        <v>118</v>
      </c>
      <c r="I96" s="55">
        <v>2571</v>
      </c>
      <c r="J96" s="56">
        <v>46752</v>
      </c>
      <c r="K96" s="56">
        <v>46965</v>
      </c>
      <c r="L96" s="55" t="s">
        <v>133</v>
      </c>
      <c r="M96" s="55" t="s">
        <v>35</v>
      </c>
      <c r="N96" s="62" t="s">
        <v>36</v>
      </c>
      <c r="O96" s="63">
        <f t="shared" si="8"/>
        <v>171000</v>
      </c>
      <c r="P96" s="63">
        <f t="shared" si="9"/>
        <v>110010</v>
      </c>
      <c r="Q96" s="54" t="s">
        <v>787</v>
      </c>
      <c r="R96" s="30" t="s">
        <v>411</v>
      </c>
      <c r="S96" s="30" t="s">
        <v>414</v>
      </c>
      <c r="T96" s="54" t="s">
        <v>53</v>
      </c>
      <c r="U96" s="54"/>
      <c r="V96" s="54"/>
      <c r="W96" s="54">
        <f>AF96</f>
        <v>2.1999999999999997</v>
      </c>
      <c r="X96" s="54"/>
      <c r="Y96" s="54"/>
      <c r="Z96" s="72" cm="1">
        <f t="array" ref="Z96">_xlfn.LET(
_xlpm.a,IF(ISNUMBER($U96),$U96,IFERROR(_xlfn.NUMBERVALUE(TRIM($U96)),0)),
_xlpm.b,IF(ISNUMBER($V96),$V96,IFERROR(_xlfn.NUMBERVALUE(TRIM($V96)),0)),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96" s="72" cm="1">
        <f t="array" ref="AA96">_xlfn.IFS($W96=0,0,AND($W96&gt;0,$W96&lt;=0.5),2,AND($W96&gt;0.5,$W96&lt;=1),3,AND($W96&gt;1,$W96&lt;=1.5),4,AND($W96&gt;1.5,$W96&lt;=2),5,AND($W96&gt;2,$W96&lt;=3),6,AND($W96&gt;3,$W96&lt;=4),7,$W96&gt;4,8)</f>
        <v>6</v>
      </c>
      <c r="AB96" s="72" cm="1">
        <f t="array" ref="AB96">_xlfn.IFS($X96=0,0,AND($X96&gt;0,$X96&lt;=0.5),2,AND($X96&gt;0.5,$X96&lt;=1),3,AND($X96&gt;1,$X96&lt;=1.5),4,AND($X96&gt;1.5,$X96&lt;=2),5,AND($X96&gt;2,$X96&lt;=3),6,AND($X96&gt;3,$X96&lt;=4),7,$X96&gt;4,8)</f>
        <v>0</v>
      </c>
      <c r="AC96" s="72" cm="1">
        <f t="array" ref="AC96">_xlfn.IFS($Y96=0,0,AND($Y96&gt;0,$Y96&lt;=0.5),2,AND($Y96&gt;0.5,$Y96&lt;=1),3,AND($Y96&gt;1,$Y96&lt;=1.5),4,AND($Y96&gt;1.5,$Y96&lt;=2),5,AND($Y96&gt;2,$Y96&lt;=3),6,AND($Y96&gt;3,$Y96&lt;=4),7,$Y96&gt;4,8)</f>
        <v>0</v>
      </c>
      <c r="AD96" s="54">
        <v>1.9</v>
      </c>
      <c r="AE96" s="54">
        <v>0.3</v>
      </c>
      <c r="AF96" s="54">
        <f t="shared" si="6"/>
        <v>2.1999999999999997</v>
      </c>
      <c r="AG96" s="55">
        <v>2571</v>
      </c>
      <c r="AH96" s="54" t="s">
        <v>59</v>
      </c>
    </row>
    <row r="97" spans="1:35" x14ac:dyDescent="0.2">
      <c r="A97" s="52">
        <v>94</v>
      </c>
      <c r="B97" s="52" t="s">
        <v>415</v>
      </c>
      <c r="C97" s="52" t="s">
        <v>416</v>
      </c>
      <c r="D97" s="52" t="s">
        <v>28</v>
      </c>
      <c r="E97" s="52" t="s">
        <v>417</v>
      </c>
      <c r="F97" s="53" t="s">
        <v>418</v>
      </c>
      <c r="G97" s="54">
        <v>4.5999999999999996</v>
      </c>
      <c r="H97" s="55" t="s">
        <v>419</v>
      </c>
      <c r="I97" s="55">
        <v>2569</v>
      </c>
      <c r="J97" s="56"/>
      <c r="K97" s="56" t="s">
        <v>420</v>
      </c>
      <c r="L97" s="55" t="s">
        <v>34</v>
      </c>
      <c r="M97" s="55" t="s">
        <v>84</v>
      </c>
      <c r="N97" s="13" t="s">
        <v>71</v>
      </c>
      <c r="O97" s="91" cm="1">
        <f t="array" ref="O97">IFERROR(_xlfn.IFS($T97="12C",Average!$C$3*'UG_NBT y2569-2571 (mat)'!$AD97,
$T97="24C",Average!$C$4*'UG_NBT y2569-2571 (mat)'!$AD97,
$T97="60C",Average!$C$5*'UG_NBT y2569-2571 (mat)'!$AD97,
$T97="144C",Average!$C$6*'UG_NBT y2569-2571 (mat)'!$AD97,
$T97="216C",Average!$C$7*'UG_NBT y2569-2571 (mat)'!$AD97)
+_xlfn.IFS($T97="12C",Average!$D$3*'UG_NBT y2569-2571 (mat)'!$AE97,
$T97="24C",Average!$D$4*'UG_NBT y2569-2571 (mat)'!$AE97,
$T97="60C",Average!$D$5*'UG_NBT y2569-2571 (mat)'!$AE97,
$T97="144C",Average!$D$6*'UG_NBT y2569-2571 (mat)'!$AE97,
$T97="216C",Average!$D$7*'UG_NBT y2569-2571 (mat)'!$AE97),0)</f>
        <v>141340</v>
      </c>
      <c r="P97" s="91">
        <f t="shared" ref="P97" si="10">AD97*9650*12</f>
        <v>0</v>
      </c>
      <c r="Q97" s="54" t="s">
        <v>787</v>
      </c>
      <c r="R97" s="30" t="s">
        <v>421</v>
      </c>
      <c r="S97" s="30" t="s">
        <v>422</v>
      </c>
      <c r="T97" s="54" t="s">
        <v>53</v>
      </c>
      <c r="U97" s="54"/>
      <c r="V97" s="54"/>
      <c r="W97" s="54">
        <f>AF97</f>
        <v>2</v>
      </c>
      <c r="X97" s="54"/>
      <c r="Y97" s="54"/>
      <c r="Z97" s="72" cm="1">
        <f t="array" ref="Z97">_xlfn.LET(
_xlpm.a,IF(ISNUMBER($U97),$U97,IFERROR(_xlfn.NUMBERVALUE(TRIM($U97)),0)),
_xlpm.b,IF(ISNUMBER($V97),$V97,IFERROR(_xlfn.NUMBERVALUE(TRIM($V97)),0)),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97" s="72" cm="1">
        <f t="array" ref="AA97">_xlfn.IFS($W97=0,0,AND($W97&gt;0,$W97&lt;=0.5),2,AND($W97&gt;0.5,$W97&lt;=1),3,AND($W97&gt;1,$W97&lt;=1.5),4,AND($W97&gt;1.5,$W97&lt;=2),5,AND($W97&gt;2,$W97&lt;=3),6,AND($W97&gt;3,$W97&lt;=4),7,$W97&gt;4,8)</f>
        <v>5</v>
      </c>
      <c r="AB97" s="72" cm="1">
        <f t="array" ref="AB97">_xlfn.IFS($X97=0,0,AND($X97&gt;0,$X97&lt;=0.5),2,AND($X97&gt;0.5,$X97&lt;=1),3,AND($X97&gt;1,$X97&lt;=1.5),4,AND($X97&gt;1.5,$X97&lt;=2),5,AND($X97&gt;2,$X97&lt;=3),6,AND($X97&gt;3,$X97&lt;=4),7,$X97&gt;4,8)</f>
        <v>0</v>
      </c>
      <c r="AC97" s="72" cm="1">
        <f t="array" ref="AC97">_xlfn.IFS($Y97=0,0,AND($Y97&gt;0,$Y97&lt;=0.5),2,AND($Y97&gt;0.5,$Y97&lt;=1),3,AND($Y97&gt;1,$Y97&lt;=1.5),4,AND($Y97&gt;1.5,$Y97&lt;=2),5,AND($Y97&gt;2,$Y97&lt;=3),6,AND($Y97&gt;3,$Y97&lt;=4),7,$Y97&gt;4,8)</f>
        <v>0</v>
      </c>
      <c r="AD97" s="54">
        <v>0</v>
      </c>
      <c r="AE97" s="54">
        <v>2</v>
      </c>
      <c r="AF97" s="54">
        <f t="shared" si="6"/>
        <v>2</v>
      </c>
      <c r="AG97" s="55">
        <v>2569</v>
      </c>
      <c r="AH97" s="54" t="s">
        <v>47</v>
      </c>
    </row>
    <row r="98" spans="1:35" ht="38.25" x14ac:dyDescent="0.2">
      <c r="A98" s="52">
        <v>95</v>
      </c>
      <c r="B98" s="52" t="s">
        <v>415</v>
      </c>
      <c r="C98" s="52" t="s">
        <v>424</v>
      </c>
      <c r="D98" s="52" t="s">
        <v>28</v>
      </c>
      <c r="E98" s="52" t="s">
        <v>425</v>
      </c>
      <c r="F98" s="53" t="s">
        <v>426</v>
      </c>
      <c r="G98" s="54">
        <v>2.4</v>
      </c>
      <c r="H98" s="55" t="s">
        <v>427</v>
      </c>
      <c r="I98" s="55">
        <v>2569</v>
      </c>
      <c r="J98" s="56"/>
      <c r="K98" s="56" t="s">
        <v>420</v>
      </c>
      <c r="L98" s="55" t="s">
        <v>34</v>
      </c>
      <c r="M98" s="55" t="s">
        <v>84</v>
      </c>
      <c r="N98" s="13" t="s">
        <v>71</v>
      </c>
      <c r="O98" s="91" cm="1">
        <f t="array" ref="O98">IFERROR(_xlfn.IFS($T98="12C",Average!$C$3*'UG_NBT y2569-2571 (mat)'!$AD98,
$T98="24C",Average!$C$4*'UG_NBT y2569-2571 (mat)'!$AD98,
$T98="60C",Average!$C$5*'UG_NBT y2569-2571 (mat)'!$AD98,
$T98="144C",Average!$C$6*'UG_NBT y2569-2571 (mat)'!$AD98,
$T98="216C",Average!$C$7*'UG_NBT y2569-2571 (mat)'!$AD98)
+_xlfn.IFS($T98="12C",Average!$D$3*'UG_NBT y2569-2571 (mat)'!$AE98,
$T98="24C",Average!$D$4*'UG_NBT y2569-2571 (mat)'!$AE98,
$T98="60C",Average!$D$5*'UG_NBT y2569-2571 (mat)'!$AE98,
$T98="144C",Average!$D$6*'UG_NBT y2569-2571 (mat)'!$AE98,
$T98="216C",Average!$D$7*'UG_NBT y2569-2571 (mat)'!$AE98),0)</f>
        <v>141340</v>
      </c>
      <c r="P98" s="91">
        <f>AD98*9650*12</f>
        <v>0</v>
      </c>
      <c r="Q98" s="54" t="s">
        <v>37</v>
      </c>
      <c r="R98" s="30" t="s">
        <v>428</v>
      </c>
      <c r="S98" s="30" t="s">
        <v>429</v>
      </c>
      <c r="T98" s="54" t="s">
        <v>53</v>
      </c>
      <c r="U98" s="54"/>
      <c r="V98" s="54"/>
      <c r="W98" s="54">
        <f>AF98</f>
        <v>2</v>
      </c>
      <c r="X98" s="54"/>
      <c r="Y98" s="54"/>
      <c r="Z98" s="72" cm="1">
        <f t="array" ref="Z98">_xlfn.LET(
_xlpm.a,IF(ISNUMBER($U98),$U98,IFERROR(_xlfn.NUMBERVALUE(TRIM($U98)),0)),
_xlpm.b,IF(ISNUMBER($V98),$V98,IFERROR(_xlfn.NUMBERVALUE(TRIM($V98)),0)),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98" s="72" cm="1">
        <f t="array" ref="AA98">_xlfn.IFS($W98=0,0,AND($W98&gt;0,$W98&lt;=0.5),2,AND($W98&gt;0.5,$W98&lt;=1),3,AND($W98&gt;1,$W98&lt;=1.5),4,AND($W98&gt;1.5,$W98&lt;=2),5,AND($W98&gt;2,$W98&lt;=3),6,AND($W98&gt;3,$W98&lt;=4),7,$W98&gt;4,8)</f>
        <v>5</v>
      </c>
      <c r="AB98" s="72" cm="1">
        <f t="array" ref="AB98">_xlfn.IFS($X98=0,0,AND($X98&gt;0,$X98&lt;=0.5),2,AND($X98&gt;0.5,$X98&lt;=1),3,AND($X98&gt;1,$X98&lt;=1.5),4,AND($X98&gt;1.5,$X98&lt;=2),5,AND($X98&gt;2,$X98&lt;=3),6,AND($X98&gt;3,$X98&lt;=4),7,$X98&gt;4,8)</f>
        <v>0</v>
      </c>
      <c r="AC98" s="72" cm="1">
        <f t="array" ref="AC98">_xlfn.IFS($Y98=0,0,AND($Y98&gt;0,$Y98&lt;=0.5),2,AND($Y98&gt;0.5,$Y98&lt;=1),3,AND($Y98&gt;1,$Y98&lt;=1.5),4,AND($Y98&gt;1.5,$Y98&lt;=2),5,AND($Y98&gt;2,$Y98&lt;=3),6,AND($Y98&gt;3,$Y98&lt;=4),7,$Y98&gt;4,8)</f>
        <v>0</v>
      </c>
      <c r="AD98" s="54">
        <v>0</v>
      </c>
      <c r="AE98" s="54">
        <v>2</v>
      </c>
      <c r="AF98" s="54">
        <f t="shared" si="6"/>
        <v>2</v>
      </c>
      <c r="AG98" s="55">
        <v>2567</v>
      </c>
      <c r="AH98" s="54" t="s">
        <v>47</v>
      </c>
    </row>
    <row r="99" spans="1:35" x14ac:dyDescent="0.2">
      <c r="A99" s="52">
        <v>96</v>
      </c>
      <c r="B99" s="52" t="s">
        <v>415</v>
      </c>
      <c r="C99" s="52" t="s">
        <v>430</v>
      </c>
      <c r="D99" s="52" t="s">
        <v>28</v>
      </c>
      <c r="E99" s="52" t="s">
        <v>431</v>
      </c>
      <c r="F99" s="53" t="s">
        <v>432</v>
      </c>
      <c r="G99" s="54">
        <v>2.6</v>
      </c>
      <c r="H99" s="55" t="s">
        <v>419</v>
      </c>
      <c r="I99" s="55">
        <v>2569</v>
      </c>
      <c r="J99" s="56"/>
      <c r="K99" s="56" t="s">
        <v>420</v>
      </c>
      <c r="L99" s="54" t="s">
        <v>69</v>
      </c>
      <c r="M99" s="55" t="s">
        <v>70</v>
      </c>
      <c r="N99" s="55" t="s">
        <v>71</v>
      </c>
      <c r="O99" s="54">
        <v>0</v>
      </c>
      <c r="P99" s="54">
        <v>0</v>
      </c>
      <c r="Q99" s="54" t="s">
        <v>69</v>
      </c>
      <c r="R99" s="30" t="s">
        <v>433</v>
      </c>
      <c r="S99" s="30" t="s">
        <v>434</v>
      </c>
      <c r="T99" s="54" t="s">
        <v>69</v>
      </c>
      <c r="U99" s="54"/>
      <c r="V99" s="54"/>
      <c r="W99" s="54"/>
      <c r="X99" s="54"/>
      <c r="Y99" s="54"/>
      <c r="Z99" s="72" cm="1">
        <f t="array" ref="Z99">_xlfn.LET(
_xlpm.a,IF(ISNUMBER($U99),$U99,IFERROR(_xlfn.NUMBERVALUE(TRIM($U99)),0)),
_xlpm.b,IF(ISNUMBER($V99),$V99,IFERROR(_xlfn.NUMBERVALUE(TRIM($V99)),0)),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99" s="72" cm="1">
        <f t="array" ref="AA99">_xlfn.IFS($W99=0,0,AND($W99&gt;0,$W99&lt;=0.5),2,AND($W99&gt;0.5,$W99&lt;=1),3,AND($W99&gt;1,$W99&lt;=1.5),4,AND($W99&gt;1.5,$W99&lt;=2),5,AND($W99&gt;2,$W99&lt;=3),6,AND($W99&gt;3,$W99&lt;=4),7,$W99&gt;4,8)</f>
        <v>0</v>
      </c>
      <c r="AB99" s="72" cm="1">
        <f t="array" ref="AB99">_xlfn.IFS($X99=0,0,AND($X99&gt;0,$X99&lt;=0.5),2,AND($X99&gt;0.5,$X99&lt;=1),3,AND($X99&gt;1,$X99&lt;=1.5),4,AND($X99&gt;1.5,$X99&lt;=2),5,AND($X99&gt;2,$X99&lt;=3),6,AND($X99&gt;3,$X99&lt;=4),7,$X99&gt;4,8)</f>
        <v>0</v>
      </c>
      <c r="AC99" s="72" cm="1">
        <f t="array" ref="AC99">_xlfn.IFS($Y99=0,0,AND($Y99&gt;0,$Y99&lt;=0.5),2,AND($Y99&gt;0.5,$Y99&lt;=1),3,AND($Y99&gt;1,$Y99&lt;=1.5),4,AND($Y99&gt;1.5,$Y99&lt;=2),5,AND($Y99&gt;2,$Y99&lt;=3),6,AND($Y99&gt;3,$Y99&lt;=4),7,$Y99&gt;4,8)</f>
        <v>0</v>
      </c>
      <c r="AD99" s="54">
        <v>0</v>
      </c>
      <c r="AE99" s="54">
        <v>0</v>
      </c>
      <c r="AF99" s="54">
        <f t="shared" si="6"/>
        <v>0</v>
      </c>
      <c r="AG99" s="55" t="s">
        <v>69</v>
      </c>
      <c r="AH99" s="54" t="s">
        <v>69</v>
      </c>
    </row>
    <row r="100" spans="1:35" x14ac:dyDescent="0.2">
      <c r="A100" s="52">
        <v>97</v>
      </c>
      <c r="B100" s="52" t="s">
        <v>415</v>
      </c>
      <c r="C100" s="52" t="s">
        <v>416</v>
      </c>
      <c r="D100" s="52" t="s">
        <v>28</v>
      </c>
      <c r="E100" s="52" t="s">
        <v>435</v>
      </c>
      <c r="F100" s="53" t="s">
        <v>436</v>
      </c>
      <c r="G100" s="54">
        <v>6.8</v>
      </c>
      <c r="H100" s="55" t="s">
        <v>419</v>
      </c>
      <c r="I100" s="55">
        <v>2569</v>
      </c>
      <c r="J100" s="56"/>
      <c r="K100" s="56" t="s">
        <v>420</v>
      </c>
      <c r="L100" s="54" t="s">
        <v>69</v>
      </c>
      <c r="M100" s="55" t="s">
        <v>70</v>
      </c>
      <c r="N100" s="55" t="s">
        <v>71</v>
      </c>
      <c r="O100" s="54">
        <v>0</v>
      </c>
      <c r="P100" s="54">
        <v>0</v>
      </c>
      <c r="Q100" s="54" t="s">
        <v>69</v>
      </c>
      <c r="R100" s="30" t="s">
        <v>437</v>
      </c>
      <c r="S100" s="30" t="s">
        <v>438</v>
      </c>
      <c r="T100" s="54" t="s">
        <v>69</v>
      </c>
      <c r="U100" s="54"/>
      <c r="V100" s="54"/>
      <c r="W100" s="54"/>
      <c r="X100" s="54"/>
      <c r="Y100" s="54"/>
      <c r="Z100" s="72" cm="1">
        <f t="array" ref="Z100">_xlfn.LET(
_xlpm.a,IF(ISNUMBER($U100),$U100,IFERROR(_xlfn.NUMBERVALUE(TRIM($U100)),0)),
_xlpm.b,IF(ISNUMBER($V100),$V100,IFERROR(_xlfn.NUMBERVALUE(TRIM($V100)),0)),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00" s="72" cm="1">
        <f t="array" ref="AA100">_xlfn.IFS($W100=0,0,AND($W100&gt;0,$W100&lt;=0.5),2,AND($W100&gt;0.5,$W100&lt;=1),3,AND($W100&gt;1,$W100&lt;=1.5),4,AND($W100&gt;1.5,$W100&lt;=2),5,AND($W100&gt;2,$W100&lt;=3),6,AND($W100&gt;3,$W100&lt;=4),7,$W100&gt;4,8)</f>
        <v>0</v>
      </c>
      <c r="AB100" s="72" cm="1">
        <f t="array" ref="AB100">_xlfn.IFS($X100=0,0,AND($X100&gt;0,$X100&lt;=0.5),2,AND($X100&gt;0.5,$X100&lt;=1),3,AND($X100&gt;1,$X100&lt;=1.5),4,AND($X100&gt;1.5,$X100&lt;=2),5,AND($X100&gt;2,$X100&lt;=3),6,AND($X100&gt;3,$X100&lt;=4),7,$X100&gt;4,8)</f>
        <v>0</v>
      </c>
      <c r="AC100" s="72" cm="1">
        <f t="array" ref="AC100">_xlfn.IFS($Y100=0,0,AND($Y100&gt;0,$Y100&lt;=0.5),2,AND($Y100&gt;0.5,$Y100&lt;=1),3,AND($Y100&gt;1,$Y100&lt;=1.5),4,AND($Y100&gt;1.5,$Y100&lt;=2),5,AND($Y100&gt;2,$Y100&lt;=3),6,AND($Y100&gt;3,$Y100&lt;=4),7,$Y100&gt;4,8)</f>
        <v>0</v>
      </c>
      <c r="AD100" s="54">
        <v>0</v>
      </c>
      <c r="AE100" s="54">
        <v>0</v>
      </c>
      <c r="AF100" s="54">
        <f t="shared" ref="AF100:AF119" si="11">AD100+AE100</f>
        <v>0</v>
      </c>
      <c r="AG100" s="55" t="s">
        <v>69</v>
      </c>
      <c r="AH100" s="54" t="s">
        <v>69</v>
      </c>
    </row>
    <row r="101" spans="1:35" ht="25.5" x14ac:dyDescent="0.2">
      <c r="A101" s="52">
        <v>98</v>
      </c>
      <c r="B101" s="52" t="s">
        <v>415</v>
      </c>
      <c r="C101" s="52" t="s">
        <v>439</v>
      </c>
      <c r="D101" s="52" t="s">
        <v>28</v>
      </c>
      <c r="E101" s="52" t="s">
        <v>440</v>
      </c>
      <c r="F101" s="53" t="s">
        <v>441</v>
      </c>
      <c r="G101" s="54">
        <v>5.2</v>
      </c>
      <c r="H101" s="55" t="s">
        <v>427</v>
      </c>
      <c r="I101" s="55">
        <v>2569</v>
      </c>
      <c r="J101" s="56"/>
      <c r="K101" s="56" t="s">
        <v>420</v>
      </c>
      <c r="L101" s="55" t="s">
        <v>34</v>
      </c>
      <c r="M101" s="55" t="s">
        <v>134</v>
      </c>
      <c r="N101" s="13" t="s">
        <v>71</v>
      </c>
      <c r="O101" s="91" cm="1">
        <f t="array" ref="O101">IFERROR(_xlfn.IFS($T101="12C",Average!$C$3*'UG_NBT y2569-2571 (mat)'!$AD101,
$T101="24C",Average!$C$4*'UG_NBT y2569-2571 (mat)'!$AD101,
$T101="60C",Average!$C$5*'UG_NBT y2569-2571 (mat)'!$AD101,
$T101="144C",Average!$C$6*'UG_NBT y2569-2571 (mat)'!$AD101,
$T101="216C",Average!$C$7*'UG_NBT y2569-2571 (mat)'!$AD101)
+_xlfn.IFS($T101="12C",Average!$D$3*'UG_NBT y2569-2571 (mat)'!$AE101,
$T101="24C",Average!$D$4*'UG_NBT y2569-2571 (mat)'!$AE101,
$T101="60C",Average!$D$5*'UG_NBT y2569-2571 (mat)'!$AE101,
$T101="144C",Average!$D$6*'UG_NBT y2569-2571 (mat)'!$AE101,
$T101="216C",Average!$D$7*'UG_NBT y2569-2571 (mat)'!$AE101),0)</f>
        <v>117872</v>
      </c>
      <c r="P101" s="91">
        <f t="shared" ref="P101:P103" si="12">AD101*9650*12</f>
        <v>115800</v>
      </c>
      <c r="Q101" s="54" t="s">
        <v>37</v>
      </c>
      <c r="R101" s="30" t="s">
        <v>442</v>
      </c>
      <c r="S101" s="30" t="s">
        <v>443</v>
      </c>
      <c r="T101" s="54" t="s">
        <v>53</v>
      </c>
      <c r="U101" s="54"/>
      <c r="V101" s="54"/>
      <c r="W101" s="54">
        <f>AF101</f>
        <v>1</v>
      </c>
      <c r="X101" s="54"/>
      <c r="Y101" s="54"/>
      <c r="Z101" s="72" cm="1">
        <f t="array" ref="Z101">_xlfn.LET(
_xlpm.a,IF(ISNUMBER($U101),$U101,IFERROR(_xlfn.NUMBERVALUE(TRIM($U101)),0)),
_xlpm.b,IF(ISNUMBER($V101),$V101,IFERROR(_xlfn.NUMBERVALUE(TRIM($V101)),0)),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01" s="72" cm="1">
        <f t="array" ref="AA101">_xlfn.IFS($W101=0,0,AND($W101&gt;0,$W101&lt;=0.5),2,AND($W101&gt;0.5,$W101&lt;=1),3,AND($W101&gt;1,$W101&lt;=1.5),4,AND($W101&gt;1.5,$W101&lt;=2),5,AND($W101&gt;2,$W101&lt;=3),6,AND($W101&gt;3,$W101&lt;=4),7,$W101&gt;4,8)</f>
        <v>3</v>
      </c>
      <c r="AB101" s="72" cm="1">
        <f t="array" ref="AB101">_xlfn.IFS($X101=0,0,AND($X101&gt;0,$X101&lt;=0.5),2,AND($X101&gt;0.5,$X101&lt;=1),3,AND($X101&gt;1,$X101&lt;=1.5),4,AND($X101&gt;1.5,$X101&lt;=2),5,AND($X101&gt;2,$X101&lt;=3),6,AND($X101&gt;3,$X101&lt;=4),7,$X101&gt;4,8)</f>
        <v>0</v>
      </c>
      <c r="AC101" s="72" cm="1">
        <f t="array" ref="AC101">_xlfn.IFS($Y101=0,0,AND($Y101&gt;0,$Y101&lt;=0.5),2,AND($Y101&gt;0.5,$Y101&lt;=1),3,AND($Y101&gt;1,$Y101&lt;=1.5),4,AND($Y101&gt;1.5,$Y101&lt;=2),5,AND($Y101&gt;2,$Y101&lt;=3),6,AND($Y101&gt;3,$Y101&lt;=4),7,$Y101&gt;4,8)</f>
        <v>0</v>
      </c>
      <c r="AD101" s="54">
        <v>1</v>
      </c>
      <c r="AE101" s="54">
        <v>0</v>
      </c>
      <c r="AF101" s="54">
        <f t="shared" si="11"/>
        <v>1</v>
      </c>
      <c r="AG101" s="55">
        <v>2567</v>
      </c>
      <c r="AH101" s="54" t="s">
        <v>59</v>
      </c>
    </row>
    <row r="102" spans="1:35" ht="25.5" x14ac:dyDescent="0.2">
      <c r="A102" s="52">
        <v>99</v>
      </c>
      <c r="B102" s="52" t="s">
        <v>415</v>
      </c>
      <c r="C102" s="52" t="s">
        <v>416</v>
      </c>
      <c r="D102" s="52" t="s">
        <v>28</v>
      </c>
      <c r="E102" s="52" t="s">
        <v>444</v>
      </c>
      <c r="F102" s="53" t="s">
        <v>445</v>
      </c>
      <c r="G102" s="54">
        <v>9.68</v>
      </c>
      <c r="H102" s="55" t="s">
        <v>419</v>
      </c>
      <c r="I102" s="55">
        <v>2569</v>
      </c>
      <c r="J102" s="56"/>
      <c r="K102" s="56" t="s">
        <v>420</v>
      </c>
      <c r="L102" s="55" t="s">
        <v>34</v>
      </c>
      <c r="M102" s="55" t="s">
        <v>35</v>
      </c>
      <c r="N102" s="62" t="s">
        <v>36</v>
      </c>
      <c r="O102" s="91" cm="1">
        <f t="array" ref="O102">IFERROR(_xlfn.IFS($T102="12C",Average!$C$3*'UG_NBT y2569-2571 (mat)'!$AD102,
$T102="24C",Average!$C$4*'UG_NBT y2569-2571 (mat)'!$AD102,
$T102="60C",Average!$C$5*'UG_NBT y2569-2571 (mat)'!$AD102,
$T102="144C",Average!$C$6*'UG_NBT y2569-2571 (mat)'!$AD102,
$T102="216C",Average!$C$7*'UG_NBT y2569-2571 (mat)'!$AD102)
+_xlfn.IFS($T102="12C",Average!$D$3*'UG_NBT y2569-2571 (mat)'!$AE102,
$T102="24C",Average!$D$4*'UG_NBT y2569-2571 (mat)'!$AE102,
$T102="60C",Average!$D$5*'UG_NBT y2569-2571 (mat)'!$AE102,
$T102="144C",Average!$D$6*'UG_NBT y2569-2571 (mat)'!$AE102,
$T102="216C",Average!$D$7*'UG_NBT y2569-2571 (mat)'!$AE102),0)</f>
        <v>391020</v>
      </c>
      <c r="P102" s="91">
        <f t="shared" si="12"/>
        <v>231600</v>
      </c>
      <c r="Q102" s="54" t="s">
        <v>787</v>
      </c>
      <c r="R102" s="30" t="s">
        <v>446</v>
      </c>
      <c r="S102" s="30" t="s">
        <v>447</v>
      </c>
      <c r="T102" s="54" t="s">
        <v>40</v>
      </c>
      <c r="U102" s="54"/>
      <c r="V102" s="54"/>
      <c r="W102" s="54"/>
      <c r="X102" s="54">
        <f>AF102</f>
        <v>2</v>
      </c>
      <c r="Y102" s="54"/>
      <c r="Z102" s="72" cm="1">
        <f t="array" ref="Z102">_xlfn.LET(
_xlpm.a,IF(ISNUMBER($U102),$U102,IFERROR(_xlfn.NUMBERVALUE(TRIM($U102)),0)),
_xlpm.b,IF(ISNUMBER($V102),$V102,IFERROR(_xlfn.NUMBERVALUE(TRIM($V102)),0)),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02" s="72" cm="1">
        <f t="array" ref="AA102">_xlfn.IFS($W102=0,0,AND($W102&gt;0,$W102&lt;=0.5),2,AND($W102&gt;0.5,$W102&lt;=1),3,AND($W102&gt;1,$W102&lt;=1.5),4,AND($W102&gt;1.5,$W102&lt;=2),5,AND($W102&gt;2,$W102&lt;=3),6,AND($W102&gt;3,$W102&lt;=4),7,$W102&gt;4,8)</f>
        <v>0</v>
      </c>
      <c r="AB102" s="72" cm="1">
        <f t="array" ref="AB102">_xlfn.IFS($X102=0,0,AND($X102&gt;0,$X102&lt;=0.5),2,AND($X102&gt;0.5,$X102&lt;=1),3,AND($X102&gt;1,$X102&lt;=1.5),4,AND($X102&gt;1.5,$X102&lt;=2),5,AND($X102&gt;2,$X102&lt;=3),6,AND($X102&gt;3,$X102&lt;=4),7,$X102&gt;4,8)</f>
        <v>5</v>
      </c>
      <c r="AC102" s="72" cm="1">
        <f t="array" ref="AC102">_xlfn.IFS($Y102=0,0,AND($Y102&gt;0,$Y102&lt;=0.5),2,AND($Y102&gt;0.5,$Y102&lt;=1),3,AND($Y102&gt;1,$Y102&lt;=1.5),4,AND($Y102&gt;1.5,$Y102&lt;=2),5,AND($Y102&gt;2,$Y102&lt;=3),6,AND($Y102&gt;3,$Y102&lt;=4),7,$Y102&gt;4,8)</f>
        <v>0</v>
      </c>
      <c r="AD102" s="54">
        <v>2</v>
      </c>
      <c r="AE102" s="54">
        <v>0</v>
      </c>
      <c r="AF102" s="54">
        <f t="shared" si="11"/>
        <v>2</v>
      </c>
      <c r="AG102" s="55">
        <v>2569</v>
      </c>
      <c r="AH102" s="54" t="s">
        <v>47</v>
      </c>
    </row>
    <row r="103" spans="1:35" x14ac:dyDescent="0.2">
      <c r="A103" s="52">
        <v>100</v>
      </c>
      <c r="B103" s="52" t="s">
        <v>415</v>
      </c>
      <c r="C103" s="52" t="s">
        <v>448</v>
      </c>
      <c r="D103" s="52" t="s">
        <v>28</v>
      </c>
      <c r="E103" s="64" t="s">
        <v>449</v>
      </c>
      <c r="F103" s="53" t="s">
        <v>450</v>
      </c>
      <c r="G103" s="54">
        <v>10</v>
      </c>
      <c r="H103" s="55" t="s">
        <v>419</v>
      </c>
      <c r="I103" s="55">
        <v>2569</v>
      </c>
      <c r="J103" s="56"/>
      <c r="K103" s="56" t="s">
        <v>420</v>
      </c>
      <c r="L103" s="55" t="s">
        <v>34</v>
      </c>
      <c r="M103" s="55" t="s">
        <v>134</v>
      </c>
      <c r="N103" s="13" t="s">
        <v>71</v>
      </c>
      <c r="O103" s="91" cm="1">
        <f t="array" ref="O103">IFERROR(_xlfn.IFS($T103="12C",Average!$C$3*'UG_NBT y2569-2571 (mat)'!$AD103,
$T103="24C",Average!$C$4*'UG_NBT y2569-2571 (mat)'!$AD103,
$T103="60C",Average!$C$5*'UG_NBT y2569-2571 (mat)'!$AD103,
$T103="144C",Average!$C$6*'UG_NBT y2569-2571 (mat)'!$AD103,
$T103="216C",Average!$C$7*'UG_NBT y2569-2571 (mat)'!$AD103)
+_xlfn.IFS($T103="12C",Average!$D$3*'UG_NBT y2569-2571 (mat)'!$AE103,
$T103="24C",Average!$D$4*'UG_NBT y2569-2571 (mat)'!$AE103,
$T103="60C",Average!$D$5*'UG_NBT y2569-2571 (mat)'!$AE103,
$T103="144C",Average!$D$6*'UG_NBT y2569-2571 (mat)'!$AE103,
$T103="216C",Average!$D$7*'UG_NBT y2569-2571 (mat)'!$AE103),0)</f>
        <v>46550</v>
      </c>
      <c r="P103" s="91">
        <f t="shared" si="12"/>
        <v>57900</v>
      </c>
      <c r="Q103" s="54" t="s">
        <v>787</v>
      </c>
      <c r="R103" s="30" t="s">
        <v>451</v>
      </c>
      <c r="S103" s="30" t="s">
        <v>452</v>
      </c>
      <c r="T103" s="54" t="s">
        <v>453</v>
      </c>
      <c r="U103" s="54"/>
      <c r="V103" s="54">
        <f>AF103</f>
        <v>0.7</v>
      </c>
      <c r="W103" s="54"/>
      <c r="X103" s="54"/>
      <c r="Y103" s="54"/>
      <c r="Z103" s="72" cm="1">
        <f t="array" ref="Z103">_xlfn.LET(
_xlpm.a,IF(ISNUMBER($U103),$U103,IFERROR(_xlfn.NUMBERVALUE(TRIM($U103)),0)),
_xlpm.b,IF(ISNUMBER($V103),$V103,IFERROR(_xlfn.NUMBERVALUE(TRIM($V103)),0)),
_xlpm.score,_xlfn.LAMBDA(_xlpm.x,_xlfn.IFS(_xlpm.x&lt;0,0,_xlpm.x=0,0,_xlpm.x&lt;=0.5,2,_xlpm.x&lt;=1,3,_xlpm.x&lt;=1.5,4,
_xlpm.x&lt;=2,5,_xlpm.x&lt;=3,6,_xlpm.x&lt;=4,7,_xlpm.x&lt;=5,8,_xlpm.x&gt;5,9)),
_xlpm.score(_xlpm.a)+_xlpm.score(_xlpm.b))</f>
        <v>3</v>
      </c>
      <c r="AA103" s="72" cm="1">
        <f t="array" ref="AA103">_xlfn.IFS($W103=0,0,AND($W103&gt;0,$W103&lt;=0.5),2,AND($W103&gt;0.5,$W103&lt;=1),3,AND($W103&gt;1,$W103&lt;=1.5),4,AND($W103&gt;1.5,$W103&lt;=2),5,AND($W103&gt;2,$W103&lt;=3),6,AND($W103&gt;3,$W103&lt;=4),7,$W103&gt;4,8)</f>
        <v>0</v>
      </c>
      <c r="AB103" s="72" cm="1">
        <f t="array" ref="AB103">_xlfn.IFS($X103=0,0,AND($X103&gt;0,$X103&lt;=0.5),2,AND($X103&gt;0.5,$X103&lt;=1),3,AND($X103&gt;1,$X103&lt;=1.5),4,AND($X103&gt;1.5,$X103&lt;=2),5,AND($X103&gt;2,$X103&lt;=3),6,AND($X103&gt;3,$X103&lt;=4),7,$X103&gt;4,8)</f>
        <v>0</v>
      </c>
      <c r="AC103" s="72" cm="1">
        <f t="array" ref="AC103">_xlfn.IFS($Y103=0,0,AND($Y103&gt;0,$Y103&lt;=0.5),2,AND($Y103&gt;0.5,$Y103&lt;=1),3,AND($Y103&gt;1,$Y103&lt;=1.5),4,AND($Y103&gt;1.5,$Y103&lt;=2),5,AND($Y103&gt;2,$Y103&lt;=3),6,AND($Y103&gt;3,$Y103&lt;=4),7,$Y103&gt;4,8)</f>
        <v>0</v>
      </c>
      <c r="AD103" s="54">
        <v>0.5</v>
      </c>
      <c r="AE103" s="54">
        <v>0.2</v>
      </c>
      <c r="AF103" s="54">
        <f t="shared" si="11"/>
        <v>0.7</v>
      </c>
      <c r="AG103" s="55">
        <v>2569</v>
      </c>
      <c r="AH103" s="54" t="s">
        <v>47</v>
      </c>
    </row>
    <row r="104" spans="1:35" ht="25.5" x14ac:dyDescent="0.2">
      <c r="A104" s="52">
        <v>101</v>
      </c>
      <c r="B104" s="52" t="s">
        <v>415</v>
      </c>
      <c r="C104" s="52" t="s">
        <v>439</v>
      </c>
      <c r="D104" s="52" t="s">
        <v>28</v>
      </c>
      <c r="E104" s="52" t="s">
        <v>454</v>
      </c>
      <c r="F104" s="53" t="s">
        <v>455</v>
      </c>
      <c r="G104" s="54">
        <v>9.6</v>
      </c>
      <c r="H104" s="55" t="s">
        <v>427</v>
      </c>
      <c r="I104" s="55">
        <v>2569</v>
      </c>
      <c r="J104" s="56"/>
      <c r="K104" s="56" t="s">
        <v>420</v>
      </c>
      <c r="L104" s="54" t="s">
        <v>69</v>
      </c>
      <c r="M104" s="55" t="s">
        <v>70</v>
      </c>
      <c r="N104" s="55" t="s">
        <v>71</v>
      </c>
      <c r="O104" s="54">
        <v>0</v>
      </c>
      <c r="P104" s="54">
        <v>0</v>
      </c>
      <c r="Q104" s="54" t="s">
        <v>69</v>
      </c>
      <c r="R104" s="30" t="s">
        <v>456</v>
      </c>
      <c r="S104" s="30" t="s">
        <v>457</v>
      </c>
      <c r="T104" s="54" t="s">
        <v>69</v>
      </c>
      <c r="U104" s="54"/>
      <c r="V104" s="54"/>
      <c r="W104" s="54"/>
      <c r="X104" s="54"/>
      <c r="Y104" s="54"/>
      <c r="Z104" s="72" cm="1">
        <f t="array" ref="Z104">_xlfn.LET(
_xlpm.a,IF(ISNUMBER($U104),$U104,IFERROR(_xlfn.NUMBERVALUE(TRIM($U104)),0)),
_xlpm.b,IF(ISNUMBER($V104),$V104,IFERROR(_xlfn.NUMBERVALUE(TRIM($V104)),0)),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04" s="72" cm="1">
        <f t="array" ref="AA104">_xlfn.IFS($W104=0,0,AND($W104&gt;0,$W104&lt;=0.5),2,AND($W104&gt;0.5,$W104&lt;=1),3,AND($W104&gt;1,$W104&lt;=1.5),4,AND($W104&gt;1.5,$W104&lt;=2),5,AND($W104&gt;2,$W104&lt;=3),6,AND($W104&gt;3,$W104&lt;=4),7,$W104&gt;4,8)</f>
        <v>0</v>
      </c>
      <c r="AB104" s="72" cm="1">
        <f t="array" ref="AB104">_xlfn.IFS($X104=0,0,AND($X104&gt;0,$X104&lt;=0.5),2,AND($X104&gt;0.5,$X104&lt;=1),3,AND($X104&gt;1,$X104&lt;=1.5),4,AND($X104&gt;1.5,$X104&lt;=2),5,AND($X104&gt;2,$X104&lt;=3),6,AND($X104&gt;3,$X104&lt;=4),7,$X104&gt;4,8)</f>
        <v>0</v>
      </c>
      <c r="AC104" s="72" cm="1">
        <f t="array" ref="AC104">_xlfn.IFS($Y104=0,0,AND($Y104&gt;0,$Y104&lt;=0.5),2,AND($Y104&gt;0.5,$Y104&lt;=1),3,AND($Y104&gt;1,$Y104&lt;=1.5),4,AND($Y104&gt;1.5,$Y104&lt;=2),5,AND($Y104&gt;2,$Y104&lt;=3),6,AND($Y104&gt;3,$Y104&lt;=4),7,$Y104&gt;4,8)</f>
        <v>0</v>
      </c>
      <c r="AD104" s="54">
        <v>0</v>
      </c>
      <c r="AE104" s="54">
        <v>0</v>
      </c>
      <c r="AF104" s="54">
        <f t="shared" si="11"/>
        <v>0</v>
      </c>
      <c r="AG104" s="55" t="s">
        <v>69</v>
      </c>
      <c r="AH104" s="54" t="s">
        <v>69</v>
      </c>
    </row>
    <row r="105" spans="1:35" ht="25.5" x14ac:dyDescent="0.2">
      <c r="A105" s="52">
        <v>102</v>
      </c>
      <c r="B105" s="52" t="s">
        <v>415</v>
      </c>
      <c r="C105" s="52" t="s">
        <v>458</v>
      </c>
      <c r="D105" s="52" t="s">
        <v>48</v>
      </c>
      <c r="E105" s="52" t="s">
        <v>459</v>
      </c>
      <c r="F105" s="53" t="s">
        <v>460</v>
      </c>
      <c r="G105" s="54">
        <v>3.44</v>
      </c>
      <c r="H105" s="55" t="s">
        <v>461</v>
      </c>
      <c r="I105" s="55">
        <v>2569</v>
      </c>
      <c r="J105" s="56"/>
      <c r="K105" s="56" t="s">
        <v>462</v>
      </c>
      <c r="L105" s="55" t="s">
        <v>34</v>
      </c>
      <c r="M105" s="55" t="s">
        <v>134</v>
      </c>
      <c r="N105" s="13" t="s">
        <v>71</v>
      </c>
      <c r="O105" s="91" cm="1">
        <f t="array" ref="O105">IFERROR(_xlfn.IFS($T105="12C",Average!$C$3*'UG_NBT y2569-2571 (mat)'!$AD105,
$T105="24C",Average!$C$4*'UG_NBT y2569-2571 (mat)'!$AD105,
$T105="60C",Average!$C$5*'UG_NBT y2569-2571 (mat)'!$AD105,
$T105="144C",Average!$C$6*'UG_NBT y2569-2571 (mat)'!$AD105,
$T105="216C",Average!$C$7*'UG_NBT y2569-2571 (mat)'!$AD105)
+_xlfn.IFS($T105="12C",Average!$D$3*'UG_NBT y2569-2571 (mat)'!$AE105,
$T105="24C",Average!$D$4*'UG_NBT y2569-2571 (mat)'!$AE105,
$T105="60C",Average!$D$5*'UG_NBT y2569-2571 (mat)'!$AE105,
$T105="144C",Average!$D$6*'UG_NBT y2569-2571 (mat)'!$AE105,
$T105="216C",Average!$D$7*'UG_NBT y2569-2571 (mat)'!$AE105),0)</f>
        <v>489292</v>
      </c>
      <c r="P105" s="91">
        <f t="shared" ref="P105:P133" si="13">AD105*9650*12</f>
        <v>138960</v>
      </c>
      <c r="Q105" s="54" t="s">
        <v>37</v>
      </c>
      <c r="R105" s="30" t="s">
        <v>463</v>
      </c>
      <c r="S105" s="30" t="s">
        <v>464</v>
      </c>
      <c r="T105" s="54" t="s">
        <v>40</v>
      </c>
      <c r="U105" s="54"/>
      <c r="V105" s="54"/>
      <c r="W105" s="54"/>
      <c r="X105" s="54">
        <f>AF105</f>
        <v>3.2</v>
      </c>
      <c r="Y105" s="54"/>
      <c r="Z105" s="72" cm="1">
        <f t="array" ref="Z105">_xlfn.LET(
_xlpm.a,IF(ISNUMBER($U105),$U105,IFERROR(_xlfn.NUMBERVALUE(TRIM($U105)),0)),
_xlpm.b,IF(ISNUMBER($V105),$V105,IFERROR(_xlfn.NUMBERVALUE(TRIM($V105)),0)),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05" s="72" cm="1">
        <f t="array" ref="AA105">_xlfn.IFS($W105=0,0,AND($W105&gt;0,$W105&lt;=0.5),2,AND($W105&gt;0.5,$W105&lt;=1),3,AND($W105&gt;1,$W105&lt;=1.5),4,AND($W105&gt;1.5,$W105&lt;=2),5,AND($W105&gt;2,$W105&lt;=3),6,AND($W105&gt;3,$W105&lt;=4),7,$W105&gt;4,8)</f>
        <v>0</v>
      </c>
      <c r="AB105" s="72" cm="1">
        <f t="array" ref="AB105">_xlfn.IFS($X105=0,0,AND($X105&gt;0,$X105&lt;=0.5),2,AND($X105&gt;0.5,$X105&lt;=1),3,AND($X105&gt;1,$X105&lt;=1.5),4,AND($X105&gt;1.5,$X105&lt;=2),5,AND($X105&gt;2,$X105&lt;=3),6,AND($X105&gt;3,$X105&lt;=4),7,$X105&gt;4,8)</f>
        <v>7</v>
      </c>
      <c r="AC105" s="72" cm="1">
        <f t="array" ref="AC105">_xlfn.IFS($Y105=0,0,AND($Y105&gt;0,$Y105&lt;=0.5),2,AND($Y105&gt;0.5,$Y105&lt;=1),3,AND($Y105&gt;1,$Y105&lt;=1.5),4,AND($Y105&gt;1.5,$Y105&lt;=2),5,AND($Y105&gt;2,$Y105&lt;=3),6,AND($Y105&gt;3,$Y105&lt;=4),7,$Y105&gt;4,8)</f>
        <v>0</v>
      </c>
      <c r="AD105" s="54">
        <v>1.2</v>
      </c>
      <c r="AE105" s="54">
        <v>2</v>
      </c>
      <c r="AF105" s="54">
        <f t="shared" si="11"/>
        <v>3.2</v>
      </c>
      <c r="AG105" s="55">
        <v>2568</v>
      </c>
      <c r="AH105" s="54" t="s">
        <v>59</v>
      </c>
    </row>
    <row r="106" spans="1:35" x14ac:dyDescent="0.2">
      <c r="A106" s="52">
        <v>103</v>
      </c>
      <c r="B106" s="52" t="s">
        <v>415</v>
      </c>
      <c r="C106" s="52" t="s">
        <v>465</v>
      </c>
      <c r="D106" s="52" t="s">
        <v>28</v>
      </c>
      <c r="E106" s="52" t="s">
        <v>466</v>
      </c>
      <c r="F106" s="53" t="s">
        <v>467</v>
      </c>
      <c r="G106" s="54">
        <v>0.8</v>
      </c>
      <c r="H106" s="55" t="s">
        <v>468</v>
      </c>
      <c r="I106" s="55">
        <v>2569</v>
      </c>
      <c r="J106" s="56"/>
      <c r="K106" s="56" t="s">
        <v>462</v>
      </c>
      <c r="L106" s="55" t="s">
        <v>34</v>
      </c>
      <c r="M106" s="55" t="s">
        <v>134</v>
      </c>
      <c r="N106" s="13" t="s">
        <v>71</v>
      </c>
      <c r="O106" s="91" cm="1">
        <f t="array" ref="O106">IFERROR(_xlfn.IFS($T106="12C",Average!$C$3*'UG_NBT y2569-2571 (mat)'!$AD106,
$T106="24C",Average!$C$4*'UG_NBT y2569-2571 (mat)'!$AD106,
$T106="60C",Average!$C$5*'UG_NBT y2569-2571 (mat)'!$AD106,
$T106="144C",Average!$C$6*'UG_NBT y2569-2571 (mat)'!$AD106,
$T106="216C",Average!$C$7*'UG_NBT y2569-2571 (mat)'!$AD106)
+_xlfn.IFS($T106="12C",Average!$D$3*'UG_NBT y2569-2571 (mat)'!$AE106,
$T106="24C",Average!$D$4*'UG_NBT y2569-2571 (mat)'!$AE106,
$T106="60C",Average!$D$5*'UG_NBT y2569-2571 (mat)'!$AE106,
$T106="144C",Average!$D$6*'UG_NBT y2569-2571 (mat)'!$AE106,
$T106="216C",Average!$D$7*'UG_NBT y2569-2571 (mat)'!$AE106),0)</f>
        <v>219178</v>
      </c>
      <c r="P106" s="91">
        <f t="shared" si="13"/>
        <v>69480</v>
      </c>
      <c r="Q106" s="54" t="s">
        <v>37</v>
      </c>
      <c r="R106" s="30" t="s">
        <v>774</v>
      </c>
      <c r="S106" s="30" t="s">
        <v>775</v>
      </c>
      <c r="T106" s="54" t="s">
        <v>40</v>
      </c>
      <c r="U106" s="54"/>
      <c r="V106" s="54"/>
      <c r="W106" s="54"/>
      <c r="X106" s="54">
        <f>AF106</f>
        <v>1.4</v>
      </c>
      <c r="Y106" s="54"/>
      <c r="Z106" s="72" cm="1">
        <f t="array" ref="Z106">_xlfn.LET(
_xlpm.a,IF(ISNUMBER($U106),$U106,IFERROR(_xlfn.NUMBERVALUE(TRIM($U106)),0)),
_xlpm.b,IF(ISNUMBER($V106),$V106,IFERROR(_xlfn.NUMBERVALUE(TRIM($V106)),0)),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06" s="72" cm="1">
        <f t="array" ref="AA106">_xlfn.IFS($W106=0,0,AND($W106&gt;0,$W106&lt;=0.5),2,AND($W106&gt;0.5,$W106&lt;=1),3,AND($W106&gt;1,$W106&lt;=1.5),4,AND($W106&gt;1.5,$W106&lt;=2),5,AND($W106&gt;2,$W106&lt;=3),6,AND($W106&gt;3,$W106&lt;=4),7,$W106&gt;4,8)</f>
        <v>0</v>
      </c>
      <c r="AB106" s="72" cm="1">
        <f t="array" ref="AB106">_xlfn.IFS($X106=0,0,AND($X106&gt;0,$X106&lt;=0.5),2,AND($X106&gt;0.5,$X106&lt;=1),3,AND($X106&gt;1,$X106&lt;=1.5),4,AND($X106&gt;1.5,$X106&lt;=2),5,AND($X106&gt;2,$X106&lt;=3),6,AND($X106&gt;3,$X106&lt;=4),7,$X106&gt;4,8)</f>
        <v>4</v>
      </c>
      <c r="AC106" s="72" cm="1">
        <f t="array" ref="AC106">_xlfn.IFS($Y106=0,0,AND($Y106&gt;0,$Y106&lt;=0.5),2,AND($Y106&gt;0.5,$Y106&lt;=1),3,AND($Y106&gt;1,$Y106&lt;=1.5),4,AND($Y106&gt;1.5,$Y106&lt;=2),5,AND($Y106&gt;2,$Y106&lt;=3),6,AND($Y106&gt;3,$Y106&lt;=4),7,$Y106&gt;4,8)</f>
        <v>0</v>
      </c>
      <c r="AD106" s="54">
        <v>0.6</v>
      </c>
      <c r="AE106" s="54">
        <v>0.8</v>
      </c>
      <c r="AF106" s="54">
        <f t="shared" si="11"/>
        <v>1.4</v>
      </c>
      <c r="AG106" s="55">
        <v>2568</v>
      </c>
      <c r="AH106" s="54" t="s">
        <v>59</v>
      </c>
    </row>
    <row r="107" spans="1:35" x14ac:dyDescent="0.2">
      <c r="A107" s="52">
        <v>104</v>
      </c>
      <c r="B107" s="52" t="s">
        <v>415</v>
      </c>
      <c r="C107" s="52" t="s">
        <v>416</v>
      </c>
      <c r="D107" s="52" t="s">
        <v>28</v>
      </c>
      <c r="E107" s="52" t="s">
        <v>469</v>
      </c>
      <c r="F107" s="53" t="s">
        <v>470</v>
      </c>
      <c r="G107" s="54">
        <v>6.4</v>
      </c>
      <c r="H107" s="55" t="s">
        <v>419</v>
      </c>
      <c r="I107" s="55">
        <v>2569</v>
      </c>
      <c r="J107" s="56"/>
      <c r="K107" s="56" t="s">
        <v>462</v>
      </c>
      <c r="L107" s="55" t="s">
        <v>34</v>
      </c>
      <c r="M107" s="55" t="s">
        <v>134</v>
      </c>
      <c r="N107" s="13" t="s">
        <v>71</v>
      </c>
      <c r="O107" s="94">
        <f>7000*5</f>
        <v>35000</v>
      </c>
      <c r="P107" s="94">
        <f>4800*12*5</f>
        <v>288000</v>
      </c>
      <c r="Q107" s="54" t="s">
        <v>787</v>
      </c>
      <c r="R107" s="30" t="s">
        <v>471</v>
      </c>
      <c r="S107" s="30" t="s">
        <v>472</v>
      </c>
      <c r="T107" s="54" t="s">
        <v>473</v>
      </c>
      <c r="U107" s="54"/>
      <c r="V107" s="54"/>
      <c r="W107" s="54"/>
      <c r="X107" s="54"/>
      <c r="Y107" s="54"/>
      <c r="Z107" s="72" cm="1">
        <f t="array" ref="Z107">_xlfn.LET(
_xlpm.a,IF(ISNUMBER($U107),$U107,IFERROR(_xlfn.NUMBERVALUE(TRIM($U107)),0)),
_xlpm.b,IF(ISNUMBER($V107),$V107,IFERROR(_xlfn.NUMBERVALUE(TRIM($V107)),0)),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07" s="72" cm="1">
        <f t="array" ref="AA107">_xlfn.IFS($W107=0,0,AND($W107&gt;0,$W107&lt;=0.5),2,AND($W107&gt;0.5,$W107&lt;=1),3,AND($W107&gt;1,$W107&lt;=1.5),4,AND($W107&gt;1.5,$W107&lt;=2),5,AND($W107&gt;2,$W107&lt;=3),6,AND($W107&gt;3,$W107&lt;=4),7,$W107&gt;4,8)</f>
        <v>0</v>
      </c>
      <c r="AB107" s="72" cm="1">
        <f t="array" ref="AB107">_xlfn.IFS($X107=0,0,AND($X107&gt;0,$X107&lt;=0.5),2,AND($X107&gt;0.5,$X107&lt;=1),3,AND($X107&gt;1,$X107&lt;=1.5),4,AND($X107&gt;1.5,$X107&lt;=2),5,AND($X107&gt;2,$X107&lt;=3),6,AND($X107&gt;3,$X107&lt;=4),7,$X107&gt;4,8)</f>
        <v>0</v>
      </c>
      <c r="AC107" s="72" cm="1">
        <f t="array" ref="AC107">_xlfn.IFS($Y107=0,0,AND($Y107&gt;0,$Y107&lt;=0.5),2,AND($Y107&gt;0.5,$Y107&lt;=1),3,AND($Y107&gt;1,$Y107&lt;=1.5),4,AND($Y107&gt;1.5,$Y107&lt;=2),5,AND($Y107&gt;2,$Y107&lt;=3),6,AND($Y107&gt;3,$Y107&lt;=4),7,$Y107&gt;4,8)</f>
        <v>0</v>
      </c>
      <c r="AD107" s="54">
        <v>0</v>
      </c>
      <c r="AE107" s="54">
        <v>0</v>
      </c>
      <c r="AF107" s="54">
        <f t="shared" si="11"/>
        <v>0</v>
      </c>
      <c r="AG107" s="55">
        <v>2569</v>
      </c>
      <c r="AH107" s="54" t="s">
        <v>41</v>
      </c>
      <c r="AI107" s="34" t="s">
        <v>473</v>
      </c>
    </row>
    <row r="108" spans="1:35" ht="25.5" x14ac:dyDescent="0.2">
      <c r="A108" s="52">
        <v>105</v>
      </c>
      <c r="B108" s="52" t="s">
        <v>415</v>
      </c>
      <c r="C108" s="52" t="s">
        <v>474</v>
      </c>
      <c r="D108" s="52" t="s">
        <v>28</v>
      </c>
      <c r="E108" s="52" t="s">
        <v>475</v>
      </c>
      <c r="F108" s="53" t="s">
        <v>476</v>
      </c>
      <c r="G108" s="54">
        <v>1.6</v>
      </c>
      <c r="H108" s="55" t="s">
        <v>477</v>
      </c>
      <c r="I108" s="55">
        <v>2569</v>
      </c>
      <c r="J108" s="56"/>
      <c r="K108" s="56" t="s">
        <v>462</v>
      </c>
      <c r="L108" s="55" t="s">
        <v>90</v>
      </c>
      <c r="M108" s="55" t="s">
        <v>134</v>
      </c>
      <c r="N108" s="13" t="s">
        <v>71</v>
      </c>
      <c r="O108" s="91" cm="1">
        <f t="array" ref="O108">IFERROR(_xlfn.IFS($T108="12C",Average!$C$3*'UG_NBT y2569-2571 (mat)'!$AD108,
$T108="24C",Average!$C$4*'UG_NBT y2569-2571 (mat)'!$AD108,
$T108="60C",Average!$C$5*'UG_NBT y2569-2571 (mat)'!$AD108,
$T108="144C",Average!$C$6*'UG_NBT y2569-2571 (mat)'!$AD108,
$T108="216C",Average!$C$7*'UG_NBT y2569-2571 (mat)'!$AD108)
+_xlfn.IFS($T108="12C",Average!$D$3*'UG_NBT y2569-2571 (mat)'!$AE108,
$T108="24C",Average!$D$4*'UG_NBT y2569-2571 (mat)'!$AE108,
$T108="60C",Average!$D$5*'UG_NBT y2569-2571 (mat)'!$AE108,
$T108="144C",Average!$D$6*'UG_NBT y2569-2571 (mat)'!$AE108,
$T108="216C",Average!$D$7*'UG_NBT y2569-2571 (mat)'!$AE108),0)</f>
        <v>258470</v>
      </c>
      <c r="P108" s="91">
        <f t="shared" si="13"/>
        <v>57900</v>
      </c>
      <c r="Q108" s="54" t="s">
        <v>787</v>
      </c>
      <c r="R108" s="30" t="s">
        <v>478</v>
      </c>
      <c r="S108" s="30" t="s">
        <v>479</v>
      </c>
      <c r="T108" s="54" t="s">
        <v>453</v>
      </c>
      <c r="U108" s="54"/>
      <c r="V108" s="54">
        <f>AF108</f>
        <v>5.5</v>
      </c>
      <c r="W108" s="54"/>
      <c r="X108" s="54"/>
      <c r="Y108" s="54"/>
      <c r="Z108" s="72" cm="1">
        <f t="array" ref="Z108">_xlfn.LET(
_xlpm.a,IF(ISNUMBER($U108),$U108,IFERROR(_xlfn.NUMBERVALUE(TRIM($U108)),0)),
_xlpm.b,IF(ISNUMBER($V108),$V108,IFERROR(_xlfn.NUMBERVALUE(TRIM($V108)),0)),
_xlpm.score,_xlfn.LAMBDA(_xlpm.x,_xlfn.IFS(_xlpm.x&lt;0,0,_xlpm.x=0,0,_xlpm.x&lt;=0.5,2,_xlpm.x&lt;=1,3,_xlpm.x&lt;=1.5,4,
_xlpm.x&lt;=2,5,_xlpm.x&lt;=3,6,_xlpm.x&lt;=4,7,_xlpm.x&lt;=5,8,_xlpm.x&gt;5,9)),
_xlpm.score(_xlpm.a)+_xlpm.score(_xlpm.b))</f>
        <v>9</v>
      </c>
      <c r="AA108" s="72" cm="1">
        <f t="array" ref="AA108">_xlfn.IFS($W108=0,0,AND($W108&gt;0,$W108&lt;=0.5),2,AND($W108&gt;0.5,$W108&lt;=1),3,AND($W108&gt;1,$W108&lt;=1.5),4,AND($W108&gt;1.5,$W108&lt;=2),5,AND($W108&gt;2,$W108&lt;=3),6,AND($W108&gt;3,$W108&lt;=4),7,$W108&gt;4,8)</f>
        <v>0</v>
      </c>
      <c r="AB108" s="72" cm="1">
        <f t="array" ref="AB108">_xlfn.IFS($X108=0,0,AND($X108&gt;0,$X108&lt;=0.5),2,AND($X108&gt;0.5,$X108&lt;=1),3,AND($X108&gt;1,$X108&lt;=1.5),4,AND($X108&gt;1.5,$X108&lt;=2),5,AND($X108&gt;2,$X108&lt;=3),6,AND($X108&gt;3,$X108&lt;=4),7,$X108&gt;4,8)</f>
        <v>0</v>
      </c>
      <c r="AC108" s="72" cm="1">
        <f t="array" ref="AC108">_xlfn.IFS($Y108=0,0,AND($Y108&gt;0,$Y108&lt;=0.5),2,AND($Y108&gt;0.5,$Y108&lt;=1),3,AND($Y108&gt;1,$Y108&lt;=1.5),4,AND($Y108&gt;1.5,$Y108&lt;=2),5,AND($Y108&gt;2,$Y108&lt;=3),6,AND($Y108&gt;3,$Y108&lt;=4),7,$Y108&gt;4,8)</f>
        <v>0</v>
      </c>
      <c r="AD108" s="54">
        <v>0.5</v>
      </c>
      <c r="AE108" s="54">
        <v>5</v>
      </c>
      <c r="AF108" s="54">
        <f t="shared" si="11"/>
        <v>5.5</v>
      </c>
      <c r="AG108" s="55">
        <v>2569</v>
      </c>
      <c r="AH108" s="54" t="s">
        <v>41</v>
      </c>
    </row>
    <row r="109" spans="1:35" ht="25.5" x14ac:dyDescent="0.2">
      <c r="A109" s="52">
        <v>106</v>
      </c>
      <c r="B109" s="52" t="s">
        <v>415</v>
      </c>
      <c r="C109" s="52" t="s">
        <v>439</v>
      </c>
      <c r="D109" s="52" t="s">
        <v>28</v>
      </c>
      <c r="E109" s="52" t="s">
        <v>480</v>
      </c>
      <c r="F109" s="53" t="s">
        <v>481</v>
      </c>
      <c r="G109" s="54">
        <v>5.26</v>
      </c>
      <c r="H109" s="55" t="s">
        <v>427</v>
      </c>
      <c r="I109" s="55">
        <v>2569</v>
      </c>
      <c r="J109" s="56"/>
      <c r="K109" s="56" t="s">
        <v>462</v>
      </c>
      <c r="L109" s="55" t="s">
        <v>34</v>
      </c>
      <c r="M109" s="55" t="s">
        <v>134</v>
      </c>
      <c r="N109" s="13" t="s">
        <v>71</v>
      </c>
      <c r="O109" s="91" cm="1">
        <f t="array" ref="O109">IFERROR(_xlfn.IFS($T109="12C",Average!$C$3*'UG_NBT y2569-2571 (mat)'!$AD109,
$T109="24C",Average!$C$4*'UG_NBT y2569-2571 (mat)'!$AD109,
$T109="60C",Average!$C$5*'UG_NBT y2569-2571 (mat)'!$AD109,
$T109="144C",Average!$C$6*'UG_NBT y2569-2571 (mat)'!$AD109,
$T109="216C",Average!$C$7*'UG_NBT y2569-2571 (mat)'!$AD109)
+_xlfn.IFS($T109="12C",Average!$D$3*'UG_NBT y2569-2571 (mat)'!$AE109,
$T109="24C",Average!$D$4*'UG_NBT y2569-2571 (mat)'!$AE109,
$T109="60C",Average!$D$5*'UG_NBT y2569-2571 (mat)'!$AE109,
$T109="144C",Average!$D$6*'UG_NBT y2569-2571 (mat)'!$AE109,
$T109="216C",Average!$D$7*'UG_NBT y2569-2571 (mat)'!$AE109),0)</f>
        <v>176808</v>
      </c>
      <c r="P109" s="91">
        <f t="shared" si="13"/>
        <v>173700</v>
      </c>
      <c r="Q109" s="54" t="s">
        <v>37</v>
      </c>
      <c r="R109" s="30" t="s">
        <v>482</v>
      </c>
      <c r="S109" s="30" t="s">
        <v>483</v>
      </c>
      <c r="T109" s="54" t="s">
        <v>53</v>
      </c>
      <c r="U109" s="54"/>
      <c r="V109" s="54"/>
      <c r="W109" s="54">
        <f>AF109</f>
        <v>1.5</v>
      </c>
      <c r="X109" s="54"/>
      <c r="Y109" s="54"/>
      <c r="Z109" s="72" cm="1">
        <f t="array" ref="Z109">_xlfn.LET(
_xlpm.a,IF(ISNUMBER($U109),$U109,IFERROR(_xlfn.NUMBERVALUE(TRIM($U109)),0)),
_xlpm.b,IF(ISNUMBER($V109),$V109,IFERROR(_xlfn.NUMBERVALUE(TRIM($V109)),0)),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09" s="72" cm="1">
        <f t="array" ref="AA109">_xlfn.IFS($W109=0,0,AND($W109&gt;0,$W109&lt;=0.5),2,AND($W109&gt;0.5,$W109&lt;=1),3,AND($W109&gt;1,$W109&lt;=1.5),4,AND($W109&gt;1.5,$W109&lt;=2),5,AND($W109&gt;2,$W109&lt;=3),6,AND($W109&gt;3,$W109&lt;=4),7,$W109&gt;4,8)</f>
        <v>4</v>
      </c>
      <c r="AB109" s="72" cm="1">
        <f t="array" ref="AB109">_xlfn.IFS($X109=0,0,AND($X109&gt;0,$X109&lt;=0.5),2,AND($X109&gt;0.5,$X109&lt;=1),3,AND($X109&gt;1,$X109&lt;=1.5),4,AND($X109&gt;1.5,$X109&lt;=2),5,AND($X109&gt;2,$X109&lt;=3),6,AND($X109&gt;3,$X109&lt;=4),7,$X109&gt;4,8)</f>
        <v>0</v>
      </c>
      <c r="AC109" s="72" cm="1">
        <f t="array" ref="AC109">_xlfn.IFS($Y109=0,0,AND($Y109&gt;0,$Y109&lt;=0.5),2,AND($Y109&gt;0.5,$Y109&lt;=1),3,AND($Y109&gt;1,$Y109&lt;=1.5),4,AND($Y109&gt;1.5,$Y109&lt;=2),5,AND($Y109&gt;2,$Y109&lt;=3),6,AND($Y109&gt;3,$Y109&lt;=4),7,$Y109&gt;4,8)</f>
        <v>0</v>
      </c>
      <c r="AD109" s="54">
        <v>1.5</v>
      </c>
      <c r="AE109" s="54">
        <v>0</v>
      </c>
      <c r="AF109" s="54">
        <f t="shared" si="11"/>
        <v>1.5</v>
      </c>
      <c r="AG109" s="55">
        <v>2567</v>
      </c>
      <c r="AH109" s="54" t="s">
        <v>59</v>
      </c>
    </row>
    <row r="110" spans="1:35" ht="25.5" x14ac:dyDescent="0.2">
      <c r="A110" s="52">
        <v>107</v>
      </c>
      <c r="B110" s="52" t="s">
        <v>415</v>
      </c>
      <c r="C110" s="52" t="s">
        <v>465</v>
      </c>
      <c r="D110" s="52" t="s">
        <v>28</v>
      </c>
      <c r="E110" s="52" t="s">
        <v>484</v>
      </c>
      <c r="F110" s="53" t="s">
        <v>485</v>
      </c>
      <c r="G110" s="54">
        <v>1.6</v>
      </c>
      <c r="H110" s="55" t="s">
        <v>468</v>
      </c>
      <c r="I110" s="55">
        <v>2569</v>
      </c>
      <c r="J110" s="56"/>
      <c r="K110" s="56" t="s">
        <v>462</v>
      </c>
      <c r="L110" s="55" t="s">
        <v>34</v>
      </c>
      <c r="M110" s="55" t="s">
        <v>134</v>
      </c>
      <c r="N110" s="13" t="s">
        <v>71</v>
      </c>
      <c r="O110" s="91" cm="1">
        <f t="array" ref="O110">IFERROR(_xlfn.IFS($T110="12C",Average!$C$3*'UG_NBT y2569-2571 (mat)'!$AD110,
$T110="24C",Average!$C$4*'UG_NBT y2569-2571 (mat)'!$AD110,
$T110="60C",Average!$C$5*'UG_NBT y2569-2571 (mat)'!$AD110,
$T110="144C",Average!$C$6*'UG_NBT y2569-2571 (mat)'!$AD110,
$T110="216C",Average!$C$7*'UG_NBT y2569-2571 (mat)'!$AD110)
+_xlfn.IFS($T110="12C",Average!$D$3*'UG_NBT y2569-2571 (mat)'!$AE110,
$T110="24C",Average!$D$4*'UG_NBT y2569-2571 (mat)'!$AE110,
$T110="60C",Average!$D$5*'UG_NBT y2569-2571 (mat)'!$AE110,
$T110="144C",Average!$D$6*'UG_NBT y2569-2571 (mat)'!$AE110,
$T110="216C",Average!$D$7*'UG_NBT y2569-2571 (mat)'!$AE110),0)</f>
        <v>297382</v>
      </c>
      <c r="P110" s="91">
        <f t="shared" si="13"/>
        <v>115800</v>
      </c>
      <c r="Q110" s="54" t="s">
        <v>37</v>
      </c>
      <c r="R110" s="30" t="s">
        <v>486</v>
      </c>
      <c r="S110" s="30" t="s">
        <v>487</v>
      </c>
      <c r="T110" s="54" t="s">
        <v>40</v>
      </c>
      <c r="U110" s="54"/>
      <c r="V110" s="54"/>
      <c r="W110" s="54"/>
      <c r="X110" s="54">
        <f>AF110</f>
        <v>1.8</v>
      </c>
      <c r="Y110" s="54"/>
      <c r="Z110" s="72" cm="1">
        <f t="array" ref="Z110">_xlfn.LET(
_xlpm.a,IF(ISNUMBER($U110),$U110,IFERROR(_xlfn.NUMBERVALUE(TRIM($U110)),0)),
_xlpm.b,IF(ISNUMBER($V110),$V110,IFERROR(_xlfn.NUMBERVALUE(TRIM($V110)),0)),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10" s="72" cm="1">
        <f t="array" ref="AA110">_xlfn.IFS($W110=0,0,AND($W110&gt;0,$W110&lt;=0.5),2,AND($W110&gt;0.5,$W110&lt;=1),3,AND($W110&gt;1,$W110&lt;=1.5),4,AND($W110&gt;1.5,$W110&lt;=2),5,AND($W110&gt;2,$W110&lt;=3),6,AND($W110&gt;3,$W110&lt;=4),7,$W110&gt;4,8)</f>
        <v>0</v>
      </c>
      <c r="AB110" s="72" cm="1">
        <f t="array" ref="AB110">_xlfn.IFS($X110=0,0,AND($X110&gt;0,$X110&lt;=0.5),2,AND($X110&gt;0.5,$X110&lt;=1),3,AND($X110&gt;1,$X110&lt;=1.5),4,AND($X110&gt;1.5,$X110&lt;=2),5,AND($X110&gt;2,$X110&lt;=3),6,AND($X110&gt;3,$X110&lt;=4),7,$X110&gt;4,8)</f>
        <v>5</v>
      </c>
      <c r="AC110" s="72" cm="1">
        <f t="array" ref="AC110">_xlfn.IFS($Y110=0,0,AND($Y110&gt;0,$Y110&lt;=0.5),2,AND($Y110&gt;0.5,$Y110&lt;=1),3,AND($Y110&gt;1,$Y110&lt;=1.5),4,AND($Y110&gt;1.5,$Y110&lt;=2),5,AND($Y110&gt;2,$Y110&lt;=3),6,AND($Y110&gt;3,$Y110&lt;=4),7,$Y110&gt;4,8)</f>
        <v>0</v>
      </c>
      <c r="AD110" s="54">
        <v>1</v>
      </c>
      <c r="AE110" s="54">
        <v>0.8</v>
      </c>
      <c r="AF110" s="54">
        <f t="shared" si="11"/>
        <v>1.8</v>
      </c>
      <c r="AG110" s="55">
        <v>2568</v>
      </c>
      <c r="AH110" s="54" t="s">
        <v>59</v>
      </c>
    </row>
    <row r="111" spans="1:35" x14ac:dyDescent="0.2">
      <c r="A111" s="52">
        <v>108</v>
      </c>
      <c r="B111" s="52" t="s">
        <v>415</v>
      </c>
      <c r="C111" s="52" t="s">
        <v>458</v>
      </c>
      <c r="D111" s="52" t="s">
        <v>48</v>
      </c>
      <c r="E111" s="52" t="s">
        <v>488</v>
      </c>
      <c r="F111" s="53" t="s">
        <v>489</v>
      </c>
      <c r="G111" s="54">
        <v>2.6</v>
      </c>
      <c r="H111" s="55" t="s">
        <v>461</v>
      </c>
      <c r="I111" s="55">
        <v>2569</v>
      </c>
      <c r="J111" s="56"/>
      <c r="K111" s="56" t="s">
        <v>462</v>
      </c>
      <c r="L111" s="55" t="s">
        <v>90</v>
      </c>
      <c r="M111" s="55" t="s">
        <v>35</v>
      </c>
      <c r="N111" s="13" t="s">
        <v>71</v>
      </c>
      <c r="O111" s="91" cm="1">
        <f t="array" ref="O111">IFERROR(_xlfn.IFS($T111="12C",Average!$C$3*'UG_NBT y2569-2571 (mat)'!$AD111,
$T111="24C",Average!$C$4*'UG_NBT y2569-2571 (mat)'!$AD111,
$T111="60C",Average!$C$5*'UG_NBT y2569-2571 (mat)'!$AD111,
$T111="144C",Average!$C$6*'UG_NBT y2569-2571 (mat)'!$AD111,
$T111="216C",Average!$C$7*'UG_NBT y2569-2571 (mat)'!$AD111)
+_xlfn.IFS($T111="12C",Average!$D$3*'UG_NBT y2569-2571 (mat)'!$AE111,
$T111="24C",Average!$D$4*'UG_NBT y2569-2571 (mat)'!$AE111,
$T111="60C",Average!$D$5*'UG_NBT y2569-2571 (mat)'!$AE111,
$T111="144C",Average!$D$6*'UG_NBT y2569-2571 (mat)'!$AE111,
$T111="216C",Average!$D$7*'UG_NBT y2569-2571 (mat)'!$AE111),0)</f>
        <v>995826</v>
      </c>
      <c r="P111" s="91">
        <f t="shared" si="13"/>
        <v>254760</v>
      </c>
      <c r="Q111" s="54" t="s">
        <v>37</v>
      </c>
      <c r="R111" s="30" t="s">
        <v>490</v>
      </c>
      <c r="S111" s="30" t="s">
        <v>491</v>
      </c>
      <c r="T111" s="54" t="s">
        <v>185</v>
      </c>
      <c r="U111" s="54"/>
      <c r="V111" s="54"/>
      <c r="W111" s="54"/>
      <c r="X111" s="54"/>
      <c r="Y111" s="54">
        <f>AF111</f>
        <v>4</v>
      </c>
      <c r="Z111" s="72" cm="1">
        <f t="array" ref="Z111">_xlfn.LET(
_xlpm.a,IF(ISNUMBER($U111),$U111,IFERROR(_xlfn.NUMBERVALUE(TRIM($U111)),0)),
_xlpm.b,IF(ISNUMBER($V111),$V111,IFERROR(_xlfn.NUMBERVALUE(TRIM($V111)),0)),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11" s="72" cm="1">
        <f t="array" ref="AA111">_xlfn.IFS($W111=0,0,AND($W111&gt;0,$W111&lt;=0.5),2,AND($W111&gt;0.5,$W111&lt;=1),3,AND($W111&gt;1,$W111&lt;=1.5),4,AND($W111&gt;1.5,$W111&lt;=2),5,AND($W111&gt;2,$W111&lt;=3),6,AND($W111&gt;3,$W111&lt;=4),7,$W111&gt;4,8)</f>
        <v>0</v>
      </c>
      <c r="AB111" s="72" cm="1">
        <f t="array" ref="AB111">_xlfn.IFS($X111=0,0,AND($X111&gt;0,$X111&lt;=0.5),2,AND($X111&gt;0.5,$X111&lt;=1),3,AND($X111&gt;1,$X111&lt;=1.5),4,AND($X111&gt;1.5,$X111&lt;=2),5,AND($X111&gt;2,$X111&lt;=3),6,AND($X111&gt;3,$X111&lt;=4),7,$X111&gt;4,8)</f>
        <v>0</v>
      </c>
      <c r="AC111" s="72" cm="1">
        <f t="array" ref="AC111">_xlfn.IFS($Y111=0,0,AND($Y111&gt;0,$Y111&lt;=0.5),2,AND($Y111&gt;0.5,$Y111&lt;=1),3,AND($Y111&gt;1,$Y111&lt;=1.5),4,AND($Y111&gt;1.5,$Y111&lt;=2),5,AND($Y111&gt;2,$Y111&lt;=3),6,AND($Y111&gt;3,$Y111&lt;=4),7,$Y111&gt;4,8)</f>
        <v>7</v>
      </c>
      <c r="AD111" s="54">
        <v>2.2000000000000002</v>
      </c>
      <c r="AE111" s="54">
        <v>1.8</v>
      </c>
      <c r="AF111" s="54">
        <f t="shared" si="11"/>
        <v>4</v>
      </c>
      <c r="AG111" s="55">
        <v>2569</v>
      </c>
      <c r="AH111" s="54" t="s">
        <v>59</v>
      </c>
    </row>
    <row r="112" spans="1:35" ht="25.5" x14ac:dyDescent="0.2">
      <c r="A112" s="52">
        <v>109</v>
      </c>
      <c r="B112" s="52" t="s">
        <v>415</v>
      </c>
      <c r="C112" s="52" t="s">
        <v>492</v>
      </c>
      <c r="D112" s="52" t="s">
        <v>28</v>
      </c>
      <c r="E112" s="52" t="s">
        <v>493</v>
      </c>
      <c r="F112" s="53" t="s">
        <v>494</v>
      </c>
      <c r="G112" s="54">
        <v>1.2</v>
      </c>
      <c r="H112" s="55" t="s">
        <v>495</v>
      </c>
      <c r="I112" s="55">
        <v>2569</v>
      </c>
      <c r="J112" s="56"/>
      <c r="K112" s="56" t="s">
        <v>462</v>
      </c>
      <c r="L112" s="55" t="s">
        <v>90</v>
      </c>
      <c r="M112" s="55" t="s">
        <v>134</v>
      </c>
      <c r="N112" s="13" t="s">
        <v>71</v>
      </c>
      <c r="O112" s="91" cm="1">
        <f t="array" ref="O112">IFERROR(_xlfn.IFS($T112="12C",Average!$C$3*'UG_NBT y2569-2571 (mat)'!$AD112,
$T112="24C",Average!$C$4*'UG_NBT y2569-2571 (mat)'!$AD112,
$T112="60C",Average!$C$5*'UG_NBT y2569-2571 (mat)'!$AD112,
$T112="144C",Average!$C$6*'UG_NBT y2569-2571 (mat)'!$AD112,
$T112="216C",Average!$C$7*'UG_NBT y2569-2571 (mat)'!$AD112)
+_xlfn.IFS($T112="12C",Average!$D$3*'UG_NBT y2569-2571 (mat)'!$AE112,
$T112="24C",Average!$D$4*'UG_NBT y2569-2571 (mat)'!$AE112,
$T112="60C",Average!$D$5*'UG_NBT y2569-2571 (mat)'!$AE112,
$T112="144C",Average!$D$6*'UG_NBT y2569-2571 (mat)'!$AE112,
$T112="216C",Average!$D$7*'UG_NBT y2569-2571 (mat)'!$AE112),0)</f>
        <v>136857</v>
      </c>
      <c r="P112" s="91">
        <f t="shared" si="13"/>
        <v>81060</v>
      </c>
      <c r="Q112" s="54" t="s">
        <v>37</v>
      </c>
      <c r="R112" s="31" t="s">
        <v>496</v>
      </c>
      <c r="S112" s="31" t="s">
        <v>497</v>
      </c>
      <c r="T112" s="54" t="s">
        <v>40</v>
      </c>
      <c r="U112" s="54"/>
      <c r="V112" s="54"/>
      <c r="W112" s="54"/>
      <c r="X112" s="54">
        <f>AF112</f>
        <v>0.7</v>
      </c>
      <c r="Y112" s="54"/>
      <c r="Z112" s="72" cm="1">
        <f t="array" ref="Z112">_xlfn.LET(
_xlpm.a,IF(ISNUMBER($U112),$U112,IFERROR(_xlfn.NUMBERVALUE(TRIM($U112)),0)),
_xlpm.b,IF(ISNUMBER($V112),$V112,IFERROR(_xlfn.NUMBERVALUE(TRIM($V112)),0)),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12" s="72" cm="1">
        <f t="array" ref="AA112">_xlfn.IFS($W112=0,0,AND($W112&gt;0,$W112&lt;=0.5),2,AND($W112&gt;0.5,$W112&lt;=1),3,AND($W112&gt;1,$W112&lt;=1.5),4,AND($W112&gt;1.5,$W112&lt;=2),5,AND($W112&gt;2,$W112&lt;=3),6,AND($W112&gt;3,$W112&lt;=4),7,$W112&gt;4,8)</f>
        <v>0</v>
      </c>
      <c r="AB112" s="72" cm="1">
        <f t="array" ref="AB112">_xlfn.IFS($X112=0,0,AND($X112&gt;0,$X112&lt;=0.5),2,AND($X112&gt;0.5,$X112&lt;=1),3,AND($X112&gt;1,$X112&lt;=1.5),4,AND($X112&gt;1.5,$X112&lt;=2),5,AND($X112&gt;2,$X112&lt;=3),6,AND($X112&gt;3,$X112&lt;=4),7,$X112&gt;4,8)</f>
        <v>3</v>
      </c>
      <c r="AC112" s="72" cm="1">
        <f t="array" ref="AC112">_xlfn.IFS($Y112=0,0,AND($Y112&gt;0,$Y112&lt;=0.5),2,AND($Y112&gt;0.5,$Y112&lt;=1),3,AND($Y112&gt;1,$Y112&lt;=1.5),4,AND($Y112&gt;1.5,$Y112&lt;=2),5,AND($Y112&gt;2,$Y112&lt;=3),6,AND($Y112&gt;3,$Y112&lt;=4),7,$Y112&gt;4,8)</f>
        <v>0</v>
      </c>
      <c r="AD112" s="54">
        <v>0.7</v>
      </c>
      <c r="AE112" s="54">
        <v>0</v>
      </c>
      <c r="AF112" s="54">
        <f t="shared" si="11"/>
        <v>0.7</v>
      </c>
      <c r="AG112" s="55">
        <v>2568</v>
      </c>
      <c r="AH112" s="54" t="s">
        <v>47</v>
      </c>
    </row>
    <row r="113" spans="1:35" ht="51" x14ac:dyDescent="0.2">
      <c r="A113" s="52">
        <v>110</v>
      </c>
      <c r="B113" s="52" t="s">
        <v>415</v>
      </c>
      <c r="C113" s="52" t="s">
        <v>498</v>
      </c>
      <c r="D113" s="52" t="s">
        <v>28</v>
      </c>
      <c r="E113" s="52" t="s">
        <v>499</v>
      </c>
      <c r="F113" s="53" t="s">
        <v>500</v>
      </c>
      <c r="G113" s="54">
        <v>2.2000000000000002</v>
      </c>
      <c r="H113" s="55" t="s">
        <v>419</v>
      </c>
      <c r="I113" s="55">
        <v>2569</v>
      </c>
      <c r="J113" s="56"/>
      <c r="K113" s="56" t="s">
        <v>462</v>
      </c>
      <c r="L113" s="55" t="s">
        <v>34</v>
      </c>
      <c r="M113" s="55" t="s">
        <v>134</v>
      </c>
      <c r="N113" s="13" t="s">
        <v>71</v>
      </c>
      <c r="O113" s="91" cm="1">
        <f t="array" ref="O113">IFERROR(_xlfn.IFS($T113="12C",Average!$C$3*'UG_NBT y2569-2571 (mat)'!$AD113,
$T113="24C",Average!$C$4*'UG_NBT y2569-2571 (mat)'!$AD113,
$T113="60C",Average!$C$5*'UG_NBT y2569-2571 (mat)'!$AD113,
$T113="144C",Average!$C$6*'UG_NBT y2569-2571 (mat)'!$AD113,
$T113="216C",Average!$C$7*'UG_NBT y2569-2571 (mat)'!$AD113)
+_xlfn.IFS($T113="12C",Average!$D$3*'UG_NBT y2569-2571 (mat)'!$AE113,
$T113="24C",Average!$D$4*'UG_NBT y2569-2571 (mat)'!$AE113,
$T113="60C",Average!$D$5*'UG_NBT y2569-2571 (mat)'!$AE113,
$T113="144C",Average!$D$6*'UG_NBT y2569-2571 (mat)'!$AE113,
$T113="216C",Average!$D$7*'UG_NBT y2569-2571 (mat)'!$AE113),0)</f>
        <v>59238</v>
      </c>
      <c r="P113" s="91">
        <f t="shared" si="13"/>
        <v>23160</v>
      </c>
      <c r="Q113" s="54" t="s">
        <v>37</v>
      </c>
      <c r="R113" s="30" t="s">
        <v>501</v>
      </c>
      <c r="S113" s="30" t="s">
        <v>502</v>
      </c>
      <c r="T113" s="54" t="s">
        <v>453</v>
      </c>
      <c r="U113" s="54"/>
      <c r="V113" s="54">
        <f>AF113</f>
        <v>1.2</v>
      </c>
      <c r="W113" s="54"/>
      <c r="X113" s="54"/>
      <c r="Y113" s="54"/>
      <c r="Z113" s="72" cm="1">
        <f t="array" ref="Z113">_xlfn.LET(
_xlpm.a,IF(ISNUMBER($U113),$U113,IFERROR(_xlfn.NUMBERVALUE(TRIM($U113)),0)),
_xlpm.b,IF(ISNUMBER($V113),$V113,IFERROR(_xlfn.NUMBERVALUE(TRIM($V113)),0)),
_xlpm.score,_xlfn.LAMBDA(_xlpm.x,_xlfn.IFS(_xlpm.x&lt;0,0,_xlpm.x=0,0,_xlpm.x&lt;=0.5,2,_xlpm.x&lt;=1,3,_xlpm.x&lt;=1.5,4,
_xlpm.x&lt;=2,5,_xlpm.x&lt;=3,6,_xlpm.x&lt;=4,7,_xlpm.x&lt;=5,8,_xlpm.x&gt;5,9)),
_xlpm.score(_xlpm.a)+_xlpm.score(_xlpm.b))</f>
        <v>4</v>
      </c>
      <c r="AA113" s="72" cm="1">
        <f t="array" ref="AA113">_xlfn.IFS($W113=0,0,AND($W113&gt;0,$W113&lt;=0.5),2,AND($W113&gt;0.5,$W113&lt;=1),3,AND($W113&gt;1,$W113&lt;=1.5),4,AND($W113&gt;1.5,$W113&lt;=2),5,AND($W113&gt;2,$W113&lt;=3),6,AND($W113&gt;3,$W113&lt;=4),7,$W113&gt;4,8)</f>
        <v>0</v>
      </c>
      <c r="AB113" s="72" cm="1">
        <f t="array" ref="AB113">_xlfn.IFS($X113=0,0,AND($X113&gt;0,$X113&lt;=0.5),2,AND($X113&gt;0.5,$X113&lt;=1),3,AND($X113&gt;1,$X113&lt;=1.5),4,AND($X113&gt;1.5,$X113&lt;=2),5,AND($X113&gt;2,$X113&lt;=3),6,AND($X113&gt;3,$X113&lt;=4),7,$X113&gt;4,8)</f>
        <v>0</v>
      </c>
      <c r="AC113" s="72" cm="1">
        <f t="array" ref="AC113">_xlfn.IFS($Y113=0,0,AND($Y113&gt;0,$Y113&lt;=0.5),2,AND($Y113&gt;0.5,$Y113&lt;=1),3,AND($Y113&gt;1,$Y113&lt;=1.5),4,AND($Y113&gt;1.5,$Y113&lt;=2),5,AND($Y113&gt;2,$Y113&lt;=3),6,AND($Y113&gt;3,$Y113&lt;=4),7,$Y113&gt;4,8)</f>
        <v>0</v>
      </c>
      <c r="AD113" s="54">
        <v>0.2</v>
      </c>
      <c r="AE113" s="54">
        <v>1</v>
      </c>
      <c r="AF113" s="54">
        <f t="shared" si="11"/>
        <v>1.2</v>
      </c>
      <c r="AG113" s="55">
        <v>2568</v>
      </c>
      <c r="AH113" s="54" t="s">
        <v>41</v>
      </c>
    </row>
    <row r="114" spans="1:35" ht="38.25" x14ac:dyDescent="0.2">
      <c r="A114" s="52">
        <v>111</v>
      </c>
      <c r="B114" s="52" t="s">
        <v>415</v>
      </c>
      <c r="C114" s="52" t="s">
        <v>503</v>
      </c>
      <c r="D114" s="52" t="s">
        <v>28</v>
      </c>
      <c r="E114" s="92" t="s">
        <v>504</v>
      </c>
      <c r="F114" s="53" t="s">
        <v>505</v>
      </c>
      <c r="G114" s="54">
        <v>2.4</v>
      </c>
      <c r="H114" s="55" t="s">
        <v>506</v>
      </c>
      <c r="I114" s="55">
        <v>2569</v>
      </c>
      <c r="J114" s="56"/>
      <c r="K114" s="56" t="s">
        <v>462</v>
      </c>
      <c r="L114" s="70" t="s">
        <v>133</v>
      </c>
      <c r="M114" s="55" t="s">
        <v>35</v>
      </c>
      <c r="N114" s="13" t="s">
        <v>71</v>
      </c>
      <c r="O114" s="91" cm="1">
        <f t="array" ref="O114">IFERROR(_xlfn.IFS($T114="12C",Average!$C$3*'UG_NBT y2569-2571 (mat)'!$AD114,
$T114="24C",Average!$C$4*'UG_NBT y2569-2571 (mat)'!$AD114,
$T114="60C",Average!$C$5*'UG_NBT y2569-2571 (mat)'!$AD114,
$T114="144C",Average!$C$6*'UG_NBT y2569-2571 (mat)'!$AD114,
$T114="216C",Average!$C$7*'UG_NBT y2569-2571 (mat)'!$AD114)
+_xlfn.IFS($T114="12C",Average!$D$3*'UG_NBT y2569-2571 (mat)'!$AE114,
$T114="24C",Average!$D$4*'UG_NBT y2569-2571 (mat)'!$AE114,
$T114="60C",Average!$D$5*'UG_NBT y2569-2571 (mat)'!$AE114,
$T114="144C",Average!$D$6*'UG_NBT y2569-2571 (mat)'!$AE114,
$T114="216C",Average!$D$7*'UG_NBT y2569-2571 (mat)'!$AE114),0)</f>
        <v>318148</v>
      </c>
      <c r="P114" s="91">
        <f t="shared" si="13"/>
        <v>173700</v>
      </c>
      <c r="Q114" s="54" t="s">
        <v>787</v>
      </c>
      <c r="R114" s="30" t="s">
        <v>507</v>
      </c>
      <c r="S114" s="30" t="s">
        <v>508</v>
      </c>
      <c r="T114" s="54" t="s">
        <v>53</v>
      </c>
      <c r="U114" s="54"/>
      <c r="V114" s="54"/>
      <c r="W114" s="54">
        <f>AF114</f>
        <v>3.5</v>
      </c>
      <c r="X114" s="54"/>
      <c r="Y114" s="54"/>
      <c r="Z114" s="72" cm="1">
        <f t="array" ref="Z114">_xlfn.LET(
_xlpm.a,IF(ISNUMBER($U114),$U114,IFERROR(_xlfn.NUMBERVALUE(TRIM($U114)),0)),
_xlpm.b,IF(ISNUMBER($V114),$V114,IFERROR(_xlfn.NUMBERVALUE(TRIM($V114)),0)),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14" s="72" cm="1">
        <f t="array" ref="AA114">_xlfn.IFS($W114=0,0,AND($W114&gt;0,$W114&lt;=0.5),2,AND($W114&gt;0.5,$W114&lt;=1),3,AND($W114&gt;1,$W114&lt;=1.5),4,AND($W114&gt;1.5,$W114&lt;=2),5,AND($W114&gt;2,$W114&lt;=3),6,AND($W114&gt;3,$W114&lt;=4),7,$W114&gt;4,8)</f>
        <v>7</v>
      </c>
      <c r="AB114" s="72" cm="1">
        <f t="array" ref="AB114">_xlfn.IFS($X114=0,0,AND($X114&gt;0,$X114&lt;=0.5),2,AND($X114&gt;0.5,$X114&lt;=1),3,AND($X114&gt;1,$X114&lt;=1.5),4,AND($X114&gt;1.5,$X114&lt;=2),5,AND($X114&gt;2,$X114&lt;=3),6,AND($X114&gt;3,$X114&lt;=4),7,$X114&gt;4,8)</f>
        <v>0</v>
      </c>
      <c r="AC114" s="72" cm="1">
        <f t="array" ref="AC114">_xlfn.IFS($Y114=0,0,AND($Y114&gt;0,$Y114&lt;=0.5),2,AND($Y114&gt;0.5,$Y114&lt;=1),3,AND($Y114&gt;1,$Y114&lt;=1.5),4,AND($Y114&gt;1.5,$Y114&lt;=2),5,AND($Y114&gt;2,$Y114&lt;=3),6,AND($Y114&gt;3,$Y114&lt;=4),7,$Y114&gt;4,8)</f>
        <v>0</v>
      </c>
      <c r="AD114" s="54">
        <v>1.5</v>
      </c>
      <c r="AE114" s="54">
        <v>2</v>
      </c>
      <c r="AF114" s="54">
        <f t="shared" si="11"/>
        <v>3.5</v>
      </c>
      <c r="AG114" s="55">
        <v>2569</v>
      </c>
      <c r="AH114" s="54" t="s">
        <v>47</v>
      </c>
    </row>
    <row r="115" spans="1:35" ht="25.5" x14ac:dyDescent="0.2">
      <c r="A115" s="52">
        <v>112</v>
      </c>
      <c r="B115" s="52" t="s">
        <v>415</v>
      </c>
      <c r="C115" s="52" t="s">
        <v>509</v>
      </c>
      <c r="D115" s="52" t="s">
        <v>28</v>
      </c>
      <c r="E115" s="52" t="s">
        <v>510</v>
      </c>
      <c r="F115" s="53" t="s">
        <v>511</v>
      </c>
      <c r="G115" s="54">
        <v>1.5</v>
      </c>
      <c r="H115" s="55" t="s">
        <v>512</v>
      </c>
      <c r="I115" s="55">
        <v>2569</v>
      </c>
      <c r="J115" s="56"/>
      <c r="K115" s="56" t="s">
        <v>462</v>
      </c>
      <c r="L115" s="55" t="s">
        <v>34</v>
      </c>
      <c r="M115" s="55" t="s">
        <v>134</v>
      </c>
      <c r="N115" s="13" t="s">
        <v>71</v>
      </c>
      <c r="O115" s="91" cm="1">
        <f t="array" ref="O115">IFERROR(_xlfn.IFS($T115="12C",Average!$C$3*'UG_NBT y2569-2571 (mat)'!$AD115,
$T115="24C",Average!$C$4*'UG_NBT y2569-2571 (mat)'!$AD115,
$T115="60C",Average!$C$5*'UG_NBT y2569-2571 (mat)'!$AD115,
$T115="144C",Average!$C$6*'UG_NBT y2569-2571 (mat)'!$AD115,
$T115="216C",Average!$C$7*'UG_NBT y2569-2571 (mat)'!$AD115)
+_xlfn.IFS($T115="12C",Average!$D$3*'UG_NBT y2569-2571 (mat)'!$AE115,
$T115="24C",Average!$D$4*'UG_NBT y2569-2571 (mat)'!$AE115,
$T115="60C",Average!$D$5*'UG_NBT y2569-2571 (mat)'!$AE115,
$T115="144C",Average!$D$6*'UG_NBT y2569-2571 (mat)'!$AE115,
$T115="216C",Average!$D$7*'UG_NBT y2569-2571 (mat)'!$AE115),0)</f>
        <v>118476</v>
      </c>
      <c r="P115" s="91">
        <f t="shared" si="13"/>
        <v>46320</v>
      </c>
      <c r="Q115" s="54" t="s">
        <v>37</v>
      </c>
      <c r="R115" s="30" t="s">
        <v>513</v>
      </c>
      <c r="S115" s="30" t="s">
        <v>514</v>
      </c>
      <c r="T115" s="54" t="s">
        <v>453</v>
      </c>
      <c r="U115" s="54"/>
      <c r="V115" s="54">
        <f t="shared" ref="V115:V116" si="14">AF115</f>
        <v>2.4</v>
      </c>
      <c r="W115" s="54"/>
      <c r="X115" s="54"/>
      <c r="Y115" s="54"/>
      <c r="Z115" s="72" cm="1">
        <f t="array" ref="Z115">_xlfn.LET(
_xlpm.a,IF(ISNUMBER($U115),$U115,IFERROR(_xlfn.NUMBERVALUE(TRIM($U115)),0)),
_xlpm.b,IF(ISNUMBER($V115),$V115,IFERROR(_xlfn.NUMBERVALUE(TRIM($V115)),0)),
_xlpm.score,_xlfn.LAMBDA(_xlpm.x,_xlfn.IFS(_xlpm.x&lt;0,0,_xlpm.x=0,0,_xlpm.x&lt;=0.5,2,_xlpm.x&lt;=1,3,_xlpm.x&lt;=1.5,4,
_xlpm.x&lt;=2,5,_xlpm.x&lt;=3,6,_xlpm.x&lt;=4,7,_xlpm.x&lt;=5,8,_xlpm.x&gt;5,9)),
_xlpm.score(_xlpm.a)+_xlpm.score(_xlpm.b))</f>
        <v>6</v>
      </c>
      <c r="AA115" s="72" cm="1">
        <f t="array" ref="AA115">_xlfn.IFS($W115=0,0,AND($W115&gt;0,$W115&lt;=0.5),2,AND($W115&gt;0.5,$W115&lt;=1),3,AND($W115&gt;1,$W115&lt;=1.5),4,AND($W115&gt;1.5,$W115&lt;=2),5,AND($W115&gt;2,$W115&lt;=3),6,AND($W115&gt;3,$W115&lt;=4),7,$W115&gt;4,8)</f>
        <v>0</v>
      </c>
      <c r="AB115" s="72" cm="1">
        <f t="array" ref="AB115">_xlfn.IFS($X115=0,0,AND($X115&gt;0,$X115&lt;=0.5),2,AND($X115&gt;0.5,$X115&lt;=1),3,AND($X115&gt;1,$X115&lt;=1.5),4,AND($X115&gt;1.5,$X115&lt;=2),5,AND($X115&gt;2,$X115&lt;=3),6,AND($X115&gt;3,$X115&lt;=4),7,$X115&gt;4,8)</f>
        <v>0</v>
      </c>
      <c r="AC115" s="72" cm="1">
        <f t="array" ref="AC115">_xlfn.IFS($Y115=0,0,AND($Y115&gt;0,$Y115&lt;=0.5),2,AND($Y115&gt;0.5,$Y115&lt;=1),3,AND($Y115&gt;1,$Y115&lt;=1.5),4,AND($Y115&gt;1.5,$Y115&lt;=2),5,AND($Y115&gt;2,$Y115&lt;=3),6,AND($Y115&gt;3,$Y115&lt;=4),7,$Y115&gt;4,8)</f>
        <v>0</v>
      </c>
      <c r="AD115" s="54">
        <v>0.4</v>
      </c>
      <c r="AE115" s="54">
        <v>2</v>
      </c>
      <c r="AF115" s="54">
        <f t="shared" si="11"/>
        <v>2.4</v>
      </c>
      <c r="AG115" s="55">
        <v>2568</v>
      </c>
      <c r="AH115" s="54" t="s">
        <v>47</v>
      </c>
    </row>
    <row r="116" spans="1:35" x14ac:dyDescent="0.2">
      <c r="A116" s="52">
        <v>113</v>
      </c>
      <c r="B116" s="52" t="s">
        <v>415</v>
      </c>
      <c r="C116" s="52" t="s">
        <v>515</v>
      </c>
      <c r="D116" s="52" t="s">
        <v>28</v>
      </c>
      <c r="E116" s="52" t="s">
        <v>516</v>
      </c>
      <c r="F116" s="53" t="s">
        <v>517</v>
      </c>
      <c r="G116" s="54">
        <v>2</v>
      </c>
      <c r="H116" s="55" t="s">
        <v>477</v>
      </c>
      <c r="I116" s="55">
        <v>2569</v>
      </c>
      <c r="J116" s="56"/>
      <c r="K116" s="56" t="s">
        <v>462</v>
      </c>
      <c r="L116" s="70" t="s">
        <v>133</v>
      </c>
      <c r="M116" s="55" t="s">
        <v>134</v>
      </c>
      <c r="N116" s="13" t="s">
        <v>71</v>
      </c>
      <c r="O116" s="91" cm="1">
        <f t="array" ref="O116">IFERROR(_xlfn.IFS($T116="12C",Average!$C$3*'UG_NBT y2569-2571 (mat)'!$AD116,
$T116="24C",Average!$C$4*'UG_NBT y2569-2571 (mat)'!$AD116,
$T116="60C",Average!$C$5*'UG_NBT y2569-2571 (mat)'!$AD116,
$T116="144C",Average!$C$6*'UG_NBT y2569-2571 (mat)'!$AD116,
$T116="216C",Average!$C$7*'UG_NBT y2569-2571 (mat)'!$AD116)
+_xlfn.IFS($T116="12C",Average!$D$3*'UG_NBT y2569-2571 (mat)'!$AE116,
$T116="24C",Average!$D$4*'UG_NBT y2569-2571 (mat)'!$AE116,
$T116="60C",Average!$D$5*'UG_NBT y2569-2571 (mat)'!$AE116,
$T116="144C",Average!$D$6*'UG_NBT y2569-2571 (mat)'!$AE116,
$T116="216C",Average!$D$7*'UG_NBT y2569-2571 (mat)'!$AE116),0)</f>
        <v>22632</v>
      </c>
      <c r="P116" s="91">
        <f t="shared" si="13"/>
        <v>34740</v>
      </c>
      <c r="Q116" s="54" t="s">
        <v>787</v>
      </c>
      <c r="R116" s="30" t="s">
        <v>518</v>
      </c>
      <c r="S116" s="30" t="s">
        <v>519</v>
      </c>
      <c r="T116" s="54" t="s">
        <v>453</v>
      </c>
      <c r="U116" s="54"/>
      <c r="V116" s="54">
        <f t="shared" si="14"/>
        <v>0.3</v>
      </c>
      <c r="W116" s="54"/>
      <c r="X116" s="54"/>
      <c r="Y116" s="54"/>
      <c r="Z116" s="72" cm="1">
        <f t="array" ref="Z116">_xlfn.LET(
_xlpm.a,IF(ISNUMBER($U116),$U116,IFERROR(_xlfn.NUMBERVALUE(TRIM($U116)),0)),
_xlpm.b,IF(ISNUMBER($V116),$V116,IFERROR(_xlfn.NUMBERVALUE(TRIM($V116)),0)),
_xlpm.score,_xlfn.LAMBDA(_xlpm.x,_xlfn.IFS(_xlpm.x&lt;0,0,_xlpm.x=0,0,_xlpm.x&lt;=0.5,2,_xlpm.x&lt;=1,3,_xlpm.x&lt;=1.5,4,
_xlpm.x&lt;=2,5,_xlpm.x&lt;=3,6,_xlpm.x&lt;=4,7,_xlpm.x&lt;=5,8,_xlpm.x&gt;5,9)),
_xlpm.score(_xlpm.a)+_xlpm.score(_xlpm.b))</f>
        <v>2</v>
      </c>
      <c r="AA116" s="72" cm="1">
        <f t="array" ref="AA116">_xlfn.IFS($W116=0,0,AND($W116&gt;0,$W116&lt;=0.5),2,AND($W116&gt;0.5,$W116&lt;=1),3,AND($W116&gt;1,$W116&lt;=1.5),4,AND($W116&gt;1.5,$W116&lt;=2),5,AND($W116&gt;2,$W116&lt;=3),6,AND($W116&gt;3,$W116&lt;=4),7,$W116&gt;4,8)</f>
        <v>0</v>
      </c>
      <c r="AB116" s="72" cm="1">
        <f t="array" ref="AB116">_xlfn.IFS($X116=0,0,AND($X116&gt;0,$X116&lt;=0.5),2,AND($X116&gt;0.5,$X116&lt;=1),3,AND($X116&gt;1,$X116&lt;=1.5),4,AND($X116&gt;1.5,$X116&lt;=2),5,AND($X116&gt;2,$X116&lt;=3),6,AND($X116&gt;3,$X116&lt;=4),7,$X116&gt;4,8)</f>
        <v>0</v>
      </c>
      <c r="AC116" s="72" cm="1">
        <f t="array" ref="AC116">_xlfn.IFS($Y116=0,0,AND($Y116&gt;0,$Y116&lt;=0.5),2,AND($Y116&gt;0.5,$Y116&lt;=1),3,AND($Y116&gt;1,$Y116&lt;=1.5),4,AND($Y116&gt;1.5,$Y116&lt;=2),5,AND($Y116&gt;2,$Y116&lt;=3),6,AND($Y116&gt;3,$Y116&lt;=4),7,$Y116&gt;4,8)</f>
        <v>0</v>
      </c>
      <c r="AD116" s="54">
        <v>0.3</v>
      </c>
      <c r="AE116" s="54">
        <v>0</v>
      </c>
      <c r="AF116" s="54">
        <f t="shared" si="11"/>
        <v>0.3</v>
      </c>
      <c r="AG116" s="55">
        <v>2569</v>
      </c>
      <c r="AH116" s="54" t="s">
        <v>47</v>
      </c>
    </row>
    <row r="117" spans="1:35" ht="25.5" x14ac:dyDescent="0.2">
      <c r="A117" s="52">
        <v>114</v>
      </c>
      <c r="B117" s="52" t="s">
        <v>415</v>
      </c>
      <c r="C117" s="52" t="s">
        <v>416</v>
      </c>
      <c r="D117" s="52" t="s">
        <v>28</v>
      </c>
      <c r="E117" s="52" t="s">
        <v>520</v>
      </c>
      <c r="F117" s="53" t="s">
        <v>521</v>
      </c>
      <c r="G117" s="54">
        <v>6.9</v>
      </c>
      <c r="H117" s="55" t="s">
        <v>419</v>
      </c>
      <c r="I117" s="55">
        <v>2569</v>
      </c>
      <c r="J117" s="56"/>
      <c r="K117" s="56" t="s">
        <v>462</v>
      </c>
      <c r="L117" s="55" t="s">
        <v>34</v>
      </c>
      <c r="M117" s="55" t="s">
        <v>134</v>
      </c>
      <c r="N117" s="13" t="s">
        <v>71</v>
      </c>
      <c r="O117" s="94">
        <f>7000*5</f>
        <v>35000</v>
      </c>
      <c r="P117" s="94">
        <f>4800*12*5</f>
        <v>288000</v>
      </c>
      <c r="Q117" s="54" t="s">
        <v>787</v>
      </c>
      <c r="R117" s="30" t="s">
        <v>522</v>
      </c>
      <c r="S117" s="30" t="s">
        <v>523</v>
      </c>
      <c r="T117" s="54" t="s">
        <v>473</v>
      </c>
      <c r="U117" s="54"/>
      <c r="V117" s="54"/>
      <c r="W117" s="54"/>
      <c r="X117" s="54"/>
      <c r="Y117" s="54"/>
      <c r="Z117" s="72" cm="1">
        <f t="array" ref="Z117">_xlfn.LET(
_xlpm.a,IF(ISNUMBER($U117),$U117,IFERROR(_xlfn.NUMBERVALUE(TRIM($U117)),0)),
_xlpm.b,IF(ISNUMBER($V117),$V117,IFERROR(_xlfn.NUMBERVALUE(TRIM($V117)),0)),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17" s="72" cm="1">
        <f t="array" ref="AA117">_xlfn.IFS($W117=0,0,AND($W117&gt;0,$W117&lt;=0.5),2,AND($W117&gt;0.5,$W117&lt;=1),3,AND($W117&gt;1,$W117&lt;=1.5),4,AND($W117&gt;1.5,$W117&lt;=2),5,AND($W117&gt;2,$W117&lt;=3),6,AND($W117&gt;3,$W117&lt;=4),7,$W117&gt;4,8)</f>
        <v>0</v>
      </c>
      <c r="AB117" s="72" cm="1">
        <f t="array" ref="AB117">_xlfn.IFS($X117=0,0,AND($X117&gt;0,$X117&lt;=0.5),2,AND($X117&gt;0.5,$X117&lt;=1),3,AND($X117&gt;1,$X117&lt;=1.5),4,AND($X117&gt;1.5,$X117&lt;=2),5,AND($X117&gt;2,$X117&lt;=3),6,AND($X117&gt;3,$X117&lt;=4),7,$X117&gt;4,8)</f>
        <v>0</v>
      </c>
      <c r="AC117" s="72" cm="1">
        <f t="array" ref="AC117">_xlfn.IFS($Y117=0,0,AND($Y117&gt;0,$Y117&lt;=0.5),2,AND($Y117&gt;0.5,$Y117&lt;=1),3,AND($Y117&gt;1,$Y117&lt;=1.5),4,AND($Y117&gt;1.5,$Y117&lt;=2),5,AND($Y117&gt;2,$Y117&lt;=3),6,AND($Y117&gt;3,$Y117&lt;=4),7,$Y117&gt;4,8)</f>
        <v>0</v>
      </c>
      <c r="AD117" s="54">
        <v>0</v>
      </c>
      <c r="AE117" s="54">
        <v>0</v>
      </c>
      <c r="AF117" s="54">
        <f t="shared" si="11"/>
        <v>0</v>
      </c>
      <c r="AG117" s="55">
        <v>2569</v>
      </c>
      <c r="AH117" s="54" t="s">
        <v>41</v>
      </c>
      <c r="AI117" s="34" t="s">
        <v>473</v>
      </c>
    </row>
    <row r="118" spans="1:35" ht="38.25" x14ac:dyDescent="0.2">
      <c r="A118" s="52">
        <v>115</v>
      </c>
      <c r="B118" s="52" t="s">
        <v>415</v>
      </c>
      <c r="C118" s="52" t="s">
        <v>524</v>
      </c>
      <c r="D118" s="52" t="s">
        <v>28</v>
      </c>
      <c r="E118" s="52" t="s">
        <v>525</v>
      </c>
      <c r="F118" s="53" t="s">
        <v>526</v>
      </c>
      <c r="G118" s="54">
        <v>2.2000000000000002</v>
      </c>
      <c r="H118" s="55" t="s">
        <v>527</v>
      </c>
      <c r="I118" s="55">
        <v>2569</v>
      </c>
      <c r="J118" s="56"/>
      <c r="K118" s="56" t="s">
        <v>462</v>
      </c>
      <c r="L118" s="55" t="s">
        <v>34</v>
      </c>
      <c r="M118" s="55" t="s">
        <v>134</v>
      </c>
      <c r="N118" s="13" t="s">
        <v>71</v>
      </c>
      <c r="O118" s="91" cm="1">
        <f t="array" ref="O118">IFERROR(_xlfn.IFS($T118="12C",Average!$C$3*'UG_NBT y2569-2571 (mat)'!$AD118,
$T118="24C",Average!$C$4*'UG_NBT y2569-2571 (mat)'!$AD118,
$T118="60C",Average!$C$5*'UG_NBT y2569-2571 (mat)'!$AD118,
$T118="144C",Average!$C$6*'UG_NBT y2569-2571 (mat)'!$AD118,
$T118="216C",Average!$C$7*'UG_NBT y2569-2571 (mat)'!$AD118)
+_xlfn.IFS($T118="12C",Average!$D$3*'UG_NBT y2569-2571 (mat)'!$AE118,
$T118="24C",Average!$D$4*'UG_NBT y2569-2571 (mat)'!$AE118,
$T118="60C",Average!$D$5*'UG_NBT y2569-2571 (mat)'!$AE118,
$T118="144C",Average!$D$6*'UG_NBT y2569-2571 (mat)'!$AE118,
$T118="216C",Average!$D$7*'UG_NBT y2569-2571 (mat)'!$AE118),0)</f>
        <v>200276</v>
      </c>
      <c r="P118" s="91">
        <f t="shared" si="13"/>
        <v>57900</v>
      </c>
      <c r="Q118" s="54" t="s">
        <v>37</v>
      </c>
      <c r="R118" s="30" t="s">
        <v>528</v>
      </c>
      <c r="S118" s="30" t="s">
        <v>529</v>
      </c>
      <c r="T118" s="54" t="s">
        <v>53</v>
      </c>
      <c r="U118" s="54"/>
      <c r="V118" s="54"/>
      <c r="W118" s="54">
        <f>AF118</f>
        <v>2.5</v>
      </c>
      <c r="X118" s="54"/>
      <c r="Y118" s="54"/>
      <c r="Z118" s="72" cm="1">
        <f t="array" ref="Z118">_xlfn.LET(
_xlpm.a,IF(ISNUMBER($U118),$U118,IFERROR(_xlfn.NUMBERVALUE(TRIM($U118)),0)),
_xlpm.b,IF(ISNUMBER($V118),$V118,IFERROR(_xlfn.NUMBERVALUE(TRIM($V118)),0)),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18" s="72" cm="1">
        <f t="array" ref="AA118">_xlfn.IFS($W118=0,0,AND($W118&gt;0,$W118&lt;=0.5),2,AND($W118&gt;0.5,$W118&lt;=1),3,AND($W118&gt;1,$W118&lt;=1.5),4,AND($W118&gt;1.5,$W118&lt;=2),5,AND($W118&gt;2,$W118&lt;=3),6,AND($W118&gt;3,$W118&lt;=4),7,$W118&gt;4,8)</f>
        <v>6</v>
      </c>
      <c r="AB118" s="72" cm="1">
        <f t="array" ref="AB118">_xlfn.IFS($X118=0,0,AND($X118&gt;0,$X118&lt;=0.5),2,AND($X118&gt;0.5,$X118&lt;=1),3,AND($X118&gt;1,$X118&lt;=1.5),4,AND($X118&gt;1.5,$X118&lt;=2),5,AND($X118&gt;2,$X118&lt;=3),6,AND($X118&gt;3,$X118&lt;=4),7,$X118&gt;4,8)</f>
        <v>0</v>
      </c>
      <c r="AC118" s="72" cm="1">
        <f t="array" ref="AC118">_xlfn.IFS($Y118=0,0,AND($Y118&gt;0,$Y118&lt;=0.5),2,AND($Y118&gt;0.5,$Y118&lt;=1),3,AND($Y118&gt;1,$Y118&lt;=1.5),4,AND($Y118&gt;1.5,$Y118&lt;=2),5,AND($Y118&gt;2,$Y118&lt;=3),6,AND($Y118&gt;3,$Y118&lt;=4),7,$Y118&gt;4,8)</f>
        <v>0</v>
      </c>
      <c r="AD118" s="54">
        <v>0.5</v>
      </c>
      <c r="AE118" s="54">
        <v>2</v>
      </c>
      <c r="AF118" s="54">
        <f t="shared" si="11"/>
        <v>2.5</v>
      </c>
      <c r="AG118" s="55">
        <v>2568</v>
      </c>
      <c r="AH118" s="54" t="s">
        <v>59</v>
      </c>
    </row>
    <row r="119" spans="1:35" ht="38.25" x14ac:dyDescent="0.2">
      <c r="A119" s="52">
        <v>116</v>
      </c>
      <c r="B119" s="52" t="s">
        <v>415</v>
      </c>
      <c r="C119" s="52" t="s">
        <v>530</v>
      </c>
      <c r="D119" s="52" t="s">
        <v>28</v>
      </c>
      <c r="E119" s="52" t="s">
        <v>531</v>
      </c>
      <c r="F119" s="53" t="s">
        <v>532</v>
      </c>
      <c r="G119" s="54">
        <v>2.6</v>
      </c>
      <c r="H119" s="55" t="s">
        <v>427</v>
      </c>
      <c r="I119" s="55">
        <v>2569</v>
      </c>
      <c r="J119" s="56"/>
      <c r="K119" s="56" t="s">
        <v>462</v>
      </c>
      <c r="L119" s="55" t="s">
        <v>34</v>
      </c>
      <c r="M119" s="55" t="s">
        <v>134</v>
      </c>
      <c r="N119" s="13" t="s">
        <v>71</v>
      </c>
      <c r="O119" s="91" cm="1">
        <f t="array" ref="O119">IFERROR(_xlfn.IFS($T119="12C",Average!$C$3*'UG_NBT y2569-2571 (mat)'!$AD119,
$T119="24C",Average!$C$4*'UG_NBT y2569-2571 (mat)'!$AD119,
$T119="60C",Average!$C$5*'UG_NBT y2569-2571 (mat)'!$AD119,
$T119="144C",Average!$C$6*'UG_NBT y2569-2571 (mat)'!$AD119,
$T119="216C",Average!$C$7*'UG_NBT y2569-2571 (mat)'!$AD119)
+_xlfn.IFS($T119="12C",Average!$D$3*'UG_NBT y2569-2571 (mat)'!$AE119,
$T119="24C",Average!$D$4*'UG_NBT y2569-2571 (mat)'!$AE119,
$T119="60C",Average!$D$5*'UG_NBT y2569-2571 (mat)'!$AE119,
$T119="144C",Average!$D$6*'UG_NBT y2569-2571 (mat)'!$AE119,
$T119="216C",Average!$D$7*'UG_NBT y2569-2571 (mat)'!$AE119),0)</f>
        <v>150880</v>
      </c>
      <c r="P119" s="91">
        <f t="shared" si="13"/>
        <v>231600</v>
      </c>
      <c r="Q119" s="54" t="s">
        <v>37</v>
      </c>
      <c r="R119" s="30" t="s">
        <v>533</v>
      </c>
      <c r="S119" s="30" t="s">
        <v>534</v>
      </c>
      <c r="T119" s="54" t="s">
        <v>453</v>
      </c>
      <c r="U119" s="54"/>
      <c r="V119" s="54">
        <f>AF119</f>
        <v>2</v>
      </c>
      <c r="W119" s="54"/>
      <c r="X119" s="54"/>
      <c r="Y119" s="54"/>
      <c r="Z119" s="72" cm="1">
        <f t="array" ref="Z119">_xlfn.LET(
_xlpm.a,IF(ISNUMBER($U119),$U119,IFERROR(_xlfn.NUMBERVALUE(TRIM($U119)),0)),
_xlpm.b,IF(ISNUMBER($V119),$V119,IFERROR(_xlfn.NUMBERVALUE(TRIM($V119)),0)),
_xlpm.score,_xlfn.LAMBDA(_xlpm.x,_xlfn.IFS(_xlpm.x&lt;0,0,_xlpm.x=0,0,_xlpm.x&lt;=0.5,2,_xlpm.x&lt;=1,3,_xlpm.x&lt;=1.5,4,
_xlpm.x&lt;=2,5,_xlpm.x&lt;=3,6,_xlpm.x&lt;=4,7,_xlpm.x&lt;=5,8,_xlpm.x&gt;5,9)),
_xlpm.score(_xlpm.a)+_xlpm.score(_xlpm.b))</f>
        <v>5</v>
      </c>
      <c r="AA119" s="72" cm="1">
        <f t="array" ref="AA119">_xlfn.IFS($W119=0,0,AND($W119&gt;0,$W119&lt;=0.5),2,AND($W119&gt;0.5,$W119&lt;=1),3,AND($W119&gt;1,$W119&lt;=1.5),4,AND($W119&gt;1.5,$W119&lt;=2),5,AND($W119&gt;2,$W119&lt;=3),6,AND($W119&gt;3,$W119&lt;=4),7,$W119&gt;4,8)</f>
        <v>0</v>
      </c>
      <c r="AB119" s="72" cm="1">
        <f t="array" ref="AB119">_xlfn.IFS($X119=0,0,AND($X119&gt;0,$X119&lt;=0.5),2,AND($X119&gt;0.5,$X119&lt;=1),3,AND($X119&gt;1,$X119&lt;=1.5),4,AND($X119&gt;1.5,$X119&lt;=2),5,AND($X119&gt;2,$X119&lt;=3),6,AND($X119&gt;3,$X119&lt;=4),7,$X119&gt;4,8)</f>
        <v>0</v>
      </c>
      <c r="AC119" s="72" cm="1">
        <f t="array" ref="AC119">_xlfn.IFS($Y119=0,0,AND($Y119&gt;0,$Y119&lt;=0.5),2,AND($Y119&gt;0.5,$Y119&lt;=1),3,AND($Y119&gt;1,$Y119&lt;=1.5),4,AND($Y119&gt;1.5,$Y119&lt;=2),5,AND($Y119&gt;2,$Y119&lt;=3),6,AND($Y119&gt;3,$Y119&lt;=4),7,$Y119&gt;4,8)</f>
        <v>0</v>
      </c>
      <c r="AD119" s="54">
        <v>2</v>
      </c>
      <c r="AE119" s="54">
        <v>0</v>
      </c>
      <c r="AF119" s="54">
        <f t="shared" si="11"/>
        <v>2</v>
      </c>
      <c r="AG119" s="55">
        <v>2568</v>
      </c>
      <c r="AH119" s="54" t="s">
        <v>47</v>
      </c>
    </row>
    <row r="120" spans="1:35" x14ac:dyDescent="0.2">
      <c r="A120" s="52">
        <v>117</v>
      </c>
      <c r="B120" s="52" t="s">
        <v>415</v>
      </c>
      <c r="C120" s="52" t="s">
        <v>439</v>
      </c>
      <c r="D120" s="52" t="s">
        <v>28</v>
      </c>
      <c r="E120" s="52" t="s">
        <v>535</v>
      </c>
      <c r="F120" s="53" t="s">
        <v>536</v>
      </c>
      <c r="G120" s="54">
        <v>1.6</v>
      </c>
      <c r="H120" s="55" t="s">
        <v>427</v>
      </c>
      <c r="I120" s="55">
        <v>2569</v>
      </c>
      <c r="J120" s="56"/>
      <c r="K120" s="56" t="s">
        <v>462</v>
      </c>
      <c r="L120" s="55" t="s">
        <v>34</v>
      </c>
      <c r="M120" s="55" t="s">
        <v>134</v>
      </c>
      <c r="N120" s="13" t="s">
        <v>71</v>
      </c>
      <c r="O120" s="91" cm="1">
        <f t="array" ref="O120">IFERROR(_xlfn.IFS($T120="12C",Average!$C$3*'UG_NBT y2569-2571 (mat)'!$AD120,
$T120="24C",Average!$C$4*'UG_NBT y2569-2571 (mat)'!$AD120,
$T120="60C",Average!$C$5*'UG_NBT y2569-2571 (mat)'!$AD120,
$T120="144C",Average!$C$6*'UG_NBT y2569-2571 (mat)'!$AD120,
$T120="216C",Average!$C$7*'UG_NBT y2569-2571 (mat)'!$AD120)
+_xlfn.IFS($T120="12C",Average!$D$3*'UG_NBT y2569-2571 (mat)'!$AE120,
$T120="24C",Average!$D$4*'UG_NBT y2569-2571 (mat)'!$AE120,
$T120="60C",Average!$D$5*'UG_NBT y2569-2571 (mat)'!$AE120,
$T120="144C",Average!$D$6*'UG_NBT y2569-2571 (mat)'!$AE120,
$T120="216C",Average!$D$7*'UG_NBT y2569-2571 (mat)'!$AE120),0)</f>
        <v>412552</v>
      </c>
      <c r="P120" s="91">
        <f t="shared" si="13"/>
        <v>405300</v>
      </c>
      <c r="Q120" s="54" t="s">
        <v>37</v>
      </c>
      <c r="R120" s="30" t="s">
        <v>537</v>
      </c>
      <c r="S120" s="30" t="s">
        <v>538</v>
      </c>
      <c r="T120" s="54" t="s">
        <v>53</v>
      </c>
      <c r="U120" s="54"/>
      <c r="V120" s="54"/>
      <c r="W120" s="54">
        <f>AF120</f>
        <v>1</v>
      </c>
      <c r="X120" s="54"/>
      <c r="Y120" s="54"/>
      <c r="Z120" s="72" cm="1">
        <f t="array" ref="Z120">_xlfn.LET(
_xlpm.a,IF(ISNUMBER($U120),$U120,IFERROR(_xlfn.NUMBERVALUE(TRIM($U120)),0)),
_xlpm.b,IF(ISNUMBER($V120),$V120,IFERROR(_xlfn.NUMBERVALUE(TRIM($V120)),0)),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20" s="72" cm="1">
        <f t="array" ref="AA120">_xlfn.IFS($W120=0,0,AND($W120&gt;0,$W120&lt;=0.5),2,AND($W120&gt;0.5,$W120&lt;=1),3,AND($W120&gt;1,$W120&lt;=1.5),4,AND($W120&gt;1.5,$W120&lt;=2),5,AND($W120&gt;2,$W120&lt;=3),6,AND($W120&gt;3,$W120&lt;=4),7,$W120&gt;4,8)</f>
        <v>3</v>
      </c>
      <c r="AB120" s="72" cm="1">
        <f t="array" ref="AB120">_xlfn.IFS($X120=0,0,AND($X120&gt;0,$X120&lt;=0.5),2,AND($X120&gt;0.5,$X120&lt;=1),3,AND($X120&gt;1,$X120&lt;=1.5),4,AND($X120&gt;1.5,$X120&lt;=2),5,AND($X120&gt;2,$X120&lt;=3),6,AND($X120&gt;3,$X120&lt;=4),7,$X120&gt;4,8)</f>
        <v>0</v>
      </c>
      <c r="AC120" s="72" cm="1">
        <f t="array" ref="AC120">_xlfn.IFS($Y120=0,0,AND($Y120&gt;0,$Y120&lt;=0.5),2,AND($Y120&gt;0.5,$Y120&lt;=1),3,AND($Y120&gt;1,$Y120&lt;=1.5),4,AND($Y120&gt;1.5,$Y120&lt;=2),5,AND($Y120&gt;2,$Y120&lt;=3),6,AND($Y120&gt;3,$Y120&lt;=4),7,$Y120&gt;4,8)</f>
        <v>0</v>
      </c>
      <c r="AD120" s="54">
        <v>3.5</v>
      </c>
      <c r="AE120" s="54">
        <v>0</v>
      </c>
      <c r="AF120" s="54">
        <v>1</v>
      </c>
      <c r="AG120" s="55">
        <v>2567</v>
      </c>
      <c r="AH120" s="54" t="s">
        <v>59</v>
      </c>
    </row>
    <row r="121" spans="1:35" ht="38.25" x14ac:dyDescent="0.2">
      <c r="A121" s="52">
        <v>118</v>
      </c>
      <c r="B121" s="52" t="s">
        <v>415</v>
      </c>
      <c r="C121" s="52" t="s">
        <v>539</v>
      </c>
      <c r="D121" s="52" t="s">
        <v>28</v>
      </c>
      <c r="E121" s="52" t="s">
        <v>540</v>
      </c>
      <c r="F121" s="53" t="s">
        <v>541</v>
      </c>
      <c r="G121" s="54">
        <v>2.8</v>
      </c>
      <c r="H121" s="55" t="s">
        <v>468</v>
      </c>
      <c r="I121" s="55">
        <v>2569</v>
      </c>
      <c r="J121" s="56"/>
      <c r="K121" s="56" t="s">
        <v>462</v>
      </c>
      <c r="L121" s="55" t="s">
        <v>34</v>
      </c>
      <c r="M121" s="55" t="s">
        <v>35</v>
      </c>
      <c r="N121" s="13" t="s">
        <v>71</v>
      </c>
      <c r="O121" s="91" cm="1">
        <f t="array" ref="O121">IFERROR(_xlfn.IFS($T121="12C",Average!$C$3*'UG_NBT y2569-2571 (mat)'!$AD121,
$T121="24C",Average!$C$4*'UG_NBT y2569-2571 (mat)'!$AD121,
$T121="60C",Average!$C$5*'UG_NBT y2569-2571 (mat)'!$AD121,
$T121="144C",Average!$C$6*'UG_NBT y2569-2571 (mat)'!$AD121,
$T121="216C",Average!$C$7*'UG_NBT y2569-2571 (mat)'!$AD121)
+_xlfn.IFS($T121="12C",Average!$D$3*'UG_NBT y2569-2571 (mat)'!$AE121,
$T121="24C",Average!$D$4*'UG_NBT y2569-2571 (mat)'!$AE121,
$T121="60C",Average!$D$5*'UG_NBT y2569-2571 (mat)'!$AE121,
$T121="144C",Average!$D$6*'UG_NBT y2569-2571 (mat)'!$AE121,
$T121="216C",Average!$D$7*'UG_NBT y2569-2571 (mat)'!$AE121),0)</f>
        <v>370096.8</v>
      </c>
      <c r="P121" s="91">
        <f t="shared" si="13"/>
        <v>335820</v>
      </c>
      <c r="Q121" s="54" t="s">
        <v>37</v>
      </c>
      <c r="R121" s="30" t="s">
        <v>542</v>
      </c>
      <c r="S121" s="30" t="s">
        <v>543</v>
      </c>
      <c r="T121" s="54" t="s">
        <v>53</v>
      </c>
      <c r="U121" s="54"/>
      <c r="V121" s="54"/>
      <c r="W121" s="54">
        <f>AF121</f>
        <v>3.3</v>
      </c>
      <c r="X121" s="54"/>
      <c r="Y121" s="54"/>
      <c r="Z121" s="72" cm="1">
        <f t="array" ref="Z121">_xlfn.LET(
_xlpm.a,IF(ISNUMBER($U121),$U121,IFERROR(_xlfn.NUMBERVALUE(TRIM($U121)),0)),
_xlpm.b,IF(ISNUMBER($V121),$V121,IFERROR(_xlfn.NUMBERVALUE(TRIM($V121)),0)),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21" s="72" cm="1">
        <f t="array" ref="AA121">_xlfn.IFS($W121=0,0,AND($W121&gt;0,$W121&lt;=0.5),2,AND($W121&gt;0.5,$W121&lt;=1),3,AND($W121&gt;1,$W121&lt;=1.5),4,AND($W121&gt;1.5,$W121&lt;=2),5,AND($W121&gt;2,$W121&lt;=3),6,AND($W121&gt;3,$W121&lt;=4),7,$W121&gt;4,8)</f>
        <v>7</v>
      </c>
      <c r="AB121" s="72" cm="1">
        <f t="array" ref="AB121">_xlfn.IFS($X121=0,0,AND($X121&gt;0,$X121&lt;=0.5),2,AND($X121&gt;0.5,$X121&lt;=1),3,AND($X121&gt;1,$X121&lt;=1.5),4,AND($X121&gt;1.5,$X121&lt;=2),5,AND($X121&gt;2,$X121&lt;=3),6,AND($X121&gt;3,$X121&lt;=4),7,$X121&gt;4,8)</f>
        <v>0</v>
      </c>
      <c r="AC121" s="72" cm="1">
        <f t="array" ref="AC121">_xlfn.IFS($Y121=0,0,AND($Y121&gt;0,$Y121&lt;=0.5),2,AND($Y121&gt;0.5,$Y121&lt;=1),3,AND($Y121&gt;1,$Y121&lt;=1.5),4,AND($Y121&gt;1.5,$Y121&lt;=2),5,AND($Y121&gt;2,$Y121&lt;=3),6,AND($Y121&gt;3,$Y121&lt;=4),7,$Y121&gt;4,8)</f>
        <v>0</v>
      </c>
      <c r="AD121" s="54">
        <v>2.9</v>
      </c>
      <c r="AE121" s="54">
        <v>0.4</v>
      </c>
      <c r="AF121" s="54">
        <f t="shared" ref="AF121:AF152" si="15">AD121+AE121</f>
        <v>3.3</v>
      </c>
      <c r="AG121" s="55">
        <v>2568</v>
      </c>
      <c r="AH121" s="54" t="s">
        <v>66</v>
      </c>
    </row>
    <row r="122" spans="1:35" x14ac:dyDescent="0.2">
      <c r="A122" s="52">
        <v>119</v>
      </c>
      <c r="B122" s="52" t="s">
        <v>415</v>
      </c>
      <c r="C122" s="52" t="s">
        <v>544</v>
      </c>
      <c r="D122" s="52" t="s">
        <v>28</v>
      </c>
      <c r="E122" s="52" t="s">
        <v>545</v>
      </c>
      <c r="F122" s="53" t="s">
        <v>546</v>
      </c>
      <c r="G122" s="54">
        <v>4.8</v>
      </c>
      <c r="H122" s="55" t="s">
        <v>547</v>
      </c>
      <c r="I122" s="55">
        <v>2569</v>
      </c>
      <c r="J122" s="56"/>
      <c r="K122" s="56" t="s">
        <v>462</v>
      </c>
      <c r="L122" s="70" t="s">
        <v>133</v>
      </c>
      <c r="M122" s="55" t="s">
        <v>35</v>
      </c>
      <c r="N122" s="13" t="s">
        <v>71</v>
      </c>
      <c r="O122" s="91" cm="1">
        <f t="array" ref="O122">IFERROR(_xlfn.IFS($T122="12C",Average!$C$3*'UG_NBT y2569-2571 (mat)'!$AD122,
$T122="24C",Average!$C$4*'UG_NBT y2569-2571 (mat)'!$AD122,
$T122="60C",Average!$C$5*'UG_NBT y2569-2571 (mat)'!$AD122,
$T122="144C",Average!$C$6*'UG_NBT y2569-2571 (mat)'!$AD122,
$T122="216C",Average!$C$7*'UG_NBT y2569-2571 (mat)'!$AD122)
+_xlfn.IFS($T122="12C",Average!$D$3*'UG_NBT y2569-2571 (mat)'!$AE122,
$T122="24C",Average!$D$4*'UG_NBT y2569-2571 (mat)'!$AE122,
$T122="60C",Average!$D$5*'UG_NBT y2569-2571 (mat)'!$AE122,
$T122="144C",Average!$D$6*'UG_NBT y2569-2571 (mat)'!$AE122,
$T122="216C",Average!$D$7*'UG_NBT y2569-2571 (mat)'!$AE122),0)</f>
        <v>1065788</v>
      </c>
      <c r="P122" s="91">
        <f t="shared" si="13"/>
        <v>555840</v>
      </c>
      <c r="Q122" s="54" t="s">
        <v>787</v>
      </c>
      <c r="R122" s="30" t="s">
        <v>548</v>
      </c>
      <c r="S122" s="30" t="s">
        <v>549</v>
      </c>
      <c r="T122" s="54" t="s">
        <v>40</v>
      </c>
      <c r="U122" s="54"/>
      <c r="V122" s="54"/>
      <c r="W122" s="54"/>
      <c r="X122" s="54">
        <f>AF122</f>
        <v>5.8</v>
      </c>
      <c r="Y122" s="54"/>
      <c r="Z122" s="72" cm="1">
        <f t="array" ref="Z122">_xlfn.LET(
_xlpm.a,IF(ISNUMBER($U122),$U122,IFERROR(_xlfn.NUMBERVALUE(TRIM($U122)),0)),
_xlpm.b,IF(ISNUMBER($V122),$V122,IFERROR(_xlfn.NUMBERVALUE(TRIM($V122)),0)),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22" s="72" cm="1">
        <f t="array" ref="AA122">_xlfn.IFS($W122=0,0,AND($W122&gt;0,$W122&lt;=0.5),2,AND($W122&gt;0.5,$W122&lt;=1),3,AND($W122&gt;1,$W122&lt;=1.5),4,AND($W122&gt;1.5,$W122&lt;=2),5,AND($W122&gt;2,$W122&lt;=3),6,AND($W122&gt;3,$W122&lt;=4),7,$W122&gt;4,8)</f>
        <v>0</v>
      </c>
      <c r="AB122" s="72" cm="1">
        <f t="array" ref="AB122">_xlfn.IFS($X122=0,0,AND($X122&gt;0,$X122&lt;=0.5),2,AND($X122&gt;0.5,$X122&lt;=1),3,AND($X122&gt;1,$X122&lt;=1.5),4,AND($X122&gt;1.5,$X122&lt;=2),5,AND($X122&gt;2,$X122&lt;=3),6,AND($X122&gt;3,$X122&lt;=4),7,$X122&gt;4,8)</f>
        <v>8</v>
      </c>
      <c r="AC122" s="72" cm="1">
        <f t="array" ref="AC122">_xlfn.IFS($Y122=0,0,AND($Y122&gt;0,$Y122&lt;=0.5),2,AND($Y122&gt;0.5,$Y122&lt;=1),3,AND($Y122&gt;1,$Y122&lt;=1.5),4,AND($Y122&gt;1.5,$Y122&lt;=2),5,AND($Y122&gt;2,$Y122&lt;=3),6,AND($Y122&gt;3,$Y122&lt;=4),7,$Y122&gt;4,8)</f>
        <v>0</v>
      </c>
      <c r="AD122" s="54">
        <v>4.8</v>
      </c>
      <c r="AE122" s="54">
        <v>1</v>
      </c>
      <c r="AF122" s="54">
        <f t="shared" si="15"/>
        <v>5.8</v>
      </c>
      <c r="AG122" s="55">
        <v>2569</v>
      </c>
      <c r="AH122" s="54" t="s">
        <v>47</v>
      </c>
    </row>
    <row r="123" spans="1:35" x14ac:dyDescent="0.2">
      <c r="A123" s="52">
        <v>120</v>
      </c>
      <c r="B123" s="52" t="s">
        <v>415</v>
      </c>
      <c r="C123" s="52" t="s">
        <v>458</v>
      </c>
      <c r="D123" s="52" t="s">
        <v>28</v>
      </c>
      <c r="E123" s="52" t="s">
        <v>550</v>
      </c>
      <c r="F123" s="53" t="s">
        <v>551</v>
      </c>
      <c r="G123" s="54">
        <v>1.6</v>
      </c>
      <c r="H123" s="55" t="s">
        <v>461</v>
      </c>
      <c r="I123" s="55">
        <v>2569</v>
      </c>
      <c r="J123" s="56"/>
      <c r="K123" s="56" t="s">
        <v>462</v>
      </c>
      <c r="L123" s="55" t="s">
        <v>90</v>
      </c>
      <c r="M123" s="55" t="s">
        <v>134</v>
      </c>
      <c r="N123" s="13" t="s">
        <v>71</v>
      </c>
      <c r="O123" s="91" cm="1">
        <f t="array" ref="O123">IFERROR(_xlfn.IFS($T123="12C",Average!$C$3*'UG_NBT y2569-2571 (mat)'!$AD123,
$T123="24C",Average!$C$4*'UG_NBT y2569-2571 (mat)'!$AD123,
$T123="60C",Average!$C$5*'UG_NBT y2569-2571 (mat)'!$AD123,
$T123="144C",Average!$C$6*'UG_NBT y2569-2571 (mat)'!$AD123,
$T123="216C",Average!$C$7*'UG_NBT y2569-2571 (mat)'!$AD123)
+_xlfn.IFS($T123="12C",Average!$D$3*'UG_NBT y2569-2571 (mat)'!$AE123,
$T123="24C",Average!$D$4*'UG_NBT y2569-2571 (mat)'!$AE123,
$T123="60C",Average!$D$5*'UG_NBT y2569-2571 (mat)'!$AE123,
$T123="144C",Average!$D$6*'UG_NBT y2569-2571 (mat)'!$AE123,
$T123="216C",Average!$D$7*'UG_NBT y2569-2571 (mat)'!$AE123),0)</f>
        <v>179101.6</v>
      </c>
      <c r="P123" s="91">
        <f t="shared" si="13"/>
        <v>92640</v>
      </c>
      <c r="Q123" s="54" t="s">
        <v>37</v>
      </c>
      <c r="R123" s="30" t="s">
        <v>552</v>
      </c>
      <c r="S123" s="30" t="s">
        <v>553</v>
      </c>
      <c r="T123" s="54" t="s">
        <v>53</v>
      </c>
      <c r="U123" s="54"/>
      <c r="V123" s="54"/>
      <c r="W123" s="54">
        <f>AF123</f>
        <v>2</v>
      </c>
      <c r="X123" s="54"/>
      <c r="Y123" s="54"/>
      <c r="Z123" s="72" cm="1">
        <f t="array" ref="Z123">_xlfn.LET(
_xlpm.a,IF(ISNUMBER($U123),$U123,IFERROR(_xlfn.NUMBERVALUE(TRIM($U123)),0)),
_xlpm.b,IF(ISNUMBER($V123),$V123,IFERROR(_xlfn.NUMBERVALUE(TRIM($V123)),0)),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23" s="72" cm="1">
        <f t="array" ref="AA123">_xlfn.IFS($W123=0,0,AND($W123&gt;0,$W123&lt;=0.5),2,AND($W123&gt;0.5,$W123&lt;=1),3,AND($W123&gt;1,$W123&lt;=1.5),4,AND($W123&gt;1.5,$W123&lt;=2),5,AND($W123&gt;2,$W123&lt;=3),6,AND($W123&gt;3,$W123&lt;=4),7,$W123&gt;4,8)</f>
        <v>5</v>
      </c>
      <c r="AB123" s="72" cm="1">
        <f t="array" ref="AB123">_xlfn.IFS($X123=0,0,AND($X123&gt;0,$X123&lt;=0.5),2,AND($X123&gt;0.5,$X123&lt;=1),3,AND($X123&gt;1,$X123&lt;=1.5),4,AND($X123&gt;1.5,$X123&lt;=2),5,AND($X123&gt;2,$X123&lt;=3),6,AND($X123&gt;3,$X123&lt;=4),7,$X123&gt;4,8)</f>
        <v>0</v>
      </c>
      <c r="AC123" s="72" cm="1">
        <f t="array" ref="AC123">_xlfn.IFS($Y123=0,0,AND($Y123&gt;0,$Y123&lt;=0.5),2,AND($Y123&gt;0.5,$Y123&lt;=1),3,AND($Y123&gt;1,$Y123&lt;=1.5),4,AND($Y123&gt;1.5,$Y123&lt;=2),5,AND($Y123&gt;2,$Y123&lt;=3),6,AND($Y123&gt;3,$Y123&lt;=4),7,$Y123&gt;4,8)</f>
        <v>0</v>
      </c>
      <c r="AD123" s="54">
        <v>0.8</v>
      </c>
      <c r="AE123" s="54">
        <v>1.2</v>
      </c>
      <c r="AF123" s="54">
        <f t="shared" si="15"/>
        <v>2</v>
      </c>
      <c r="AG123" s="55">
        <v>2569</v>
      </c>
      <c r="AH123" s="54" t="s">
        <v>59</v>
      </c>
    </row>
    <row r="124" spans="1:35" x14ac:dyDescent="0.2">
      <c r="A124" s="52">
        <v>121</v>
      </c>
      <c r="B124" s="52" t="s">
        <v>415</v>
      </c>
      <c r="C124" s="52" t="s">
        <v>503</v>
      </c>
      <c r="D124" s="52" t="s">
        <v>28</v>
      </c>
      <c r="E124" s="52" t="s">
        <v>554</v>
      </c>
      <c r="F124" s="53" t="s">
        <v>555</v>
      </c>
      <c r="G124" s="54">
        <v>3.6</v>
      </c>
      <c r="H124" s="55" t="s">
        <v>506</v>
      </c>
      <c r="I124" s="55">
        <v>2569</v>
      </c>
      <c r="J124" s="56"/>
      <c r="K124" s="56" t="s">
        <v>462</v>
      </c>
      <c r="L124" s="70" t="s">
        <v>34</v>
      </c>
      <c r="M124" s="55" t="s">
        <v>134</v>
      </c>
      <c r="N124" s="13" t="s">
        <v>71</v>
      </c>
      <c r="O124" s="91" cm="1">
        <f t="array" ref="O124">IFERROR(_xlfn.IFS($T124="12C",Average!$C$3*'UG_NBT y2569-2571 (mat)'!$AD124,
$T124="24C",Average!$C$4*'UG_NBT y2569-2571 (mat)'!$AD124,
$T124="60C",Average!$C$5*'UG_NBT y2569-2571 (mat)'!$AD124,
$T124="144C",Average!$C$6*'UG_NBT y2569-2571 (mat)'!$AD124,
$T124="216C",Average!$C$7*'UG_NBT y2569-2571 (mat)'!$AD124)
+_xlfn.IFS($T124="12C",Average!$D$3*'UG_NBT y2569-2571 (mat)'!$AE124,
$T124="24C",Average!$D$4*'UG_NBT y2569-2571 (mat)'!$AE124,
$T124="60C",Average!$D$5*'UG_NBT y2569-2571 (mat)'!$AE124,
$T124="144C",Average!$D$6*'UG_NBT y2569-2571 (mat)'!$AE124,
$T124="216C",Average!$D$7*'UG_NBT y2569-2571 (mat)'!$AE124),0)</f>
        <v>621132</v>
      </c>
      <c r="P124" s="91">
        <f t="shared" si="13"/>
        <v>254760</v>
      </c>
      <c r="Q124" s="54" t="s">
        <v>37</v>
      </c>
      <c r="R124" s="30" t="s">
        <v>556</v>
      </c>
      <c r="S124" s="30" t="s">
        <v>557</v>
      </c>
      <c r="T124" s="54" t="s">
        <v>40</v>
      </c>
      <c r="U124" s="54"/>
      <c r="V124" s="54"/>
      <c r="W124" s="54"/>
      <c r="X124" s="54">
        <f>AF124</f>
        <v>3.7</v>
      </c>
      <c r="Y124" s="54"/>
      <c r="Z124" s="72" cm="1">
        <f t="array" ref="Z124">_xlfn.LET(
_xlpm.a,IF(ISNUMBER($U124),$U124,IFERROR(_xlfn.NUMBERVALUE(TRIM($U124)),0)),
_xlpm.b,IF(ISNUMBER($V124),$V124,IFERROR(_xlfn.NUMBERVALUE(TRIM($V124)),0)),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24" s="72" cm="1">
        <f t="array" ref="AA124">_xlfn.IFS($W124=0,0,AND($W124&gt;0,$W124&lt;=0.5),2,AND($W124&gt;0.5,$W124&lt;=1),3,AND($W124&gt;1,$W124&lt;=1.5),4,AND($W124&gt;1.5,$W124&lt;=2),5,AND($W124&gt;2,$W124&lt;=3),6,AND($W124&gt;3,$W124&lt;=4),7,$W124&gt;4,8)</f>
        <v>0</v>
      </c>
      <c r="AB124" s="72" cm="1">
        <f t="array" ref="AB124">_xlfn.IFS($X124=0,0,AND($X124&gt;0,$X124&lt;=0.5),2,AND($X124&gt;0.5,$X124&lt;=1),3,AND($X124&gt;1,$X124&lt;=1.5),4,AND($X124&gt;1.5,$X124&lt;=2),5,AND($X124&gt;2,$X124&lt;=3),6,AND($X124&gt;3,$X124&lt;=4),7,$X124&gt;4,8)</f>
        <v>7</v>
      </c>
      <c r="AC124" s="72" cm="1">
        <f t="array" ref="AC124">_xlfn.IFS($Y124=0,0,AND($Y124&gt;0,$Y124&lt;=0.5),2,AND($Y124&gt;0.5,$Y124&lt;=1),3,AND($Y124&gt;1,$Y124&lt;=1.5),4,AND($Y124&gt;1.5,$Y124&lt;=2),5,AND($Y124&gt;2,$Y124&lt;=3),6,AND($Y124&gt;3,$Y124&lt;=4),7,$Y124&gt;4,8)</f>
        <v>0</v>
      </c>
      <c r="AD124" s="54">
        <v>2.2000000000000002</v>
      </c>
      <c r="AE124" s="54">
        <v>1.5</v>
      </c>
      <c r="AF124" s="54">
        <f t="shared" si="15"/>
        <v>3.7</v>
      </c>
      <c r="AG124" s="55">
        <v>2569</v>
      </c>
      <c r="AH124" s="54" t="s">
        <v>59</v>
      </c>
      <c r="AI124" s="65" t="s">
        <v>558</v>
      </c>
    </row>
    <row r="125" spans="1:35" ht="25.5" x14ac:dyDescent="0.2">
      <c r="A125" s="52">
        <v>122</v>
      </c>
      <c r="B125" s="52" t="s">
        <v>415</v>
      </c>
      <c r="C125" s="52" t="s">
        <v>559</v>
      </c>
      <c r="D125" s="52" t="s">
        <v>28</v>
      </c>
      <c r="E125" s="52" t="s">
        <v>560</v>
      </c>
      <c r="F125" s="53" t="s">
        <v>561</v>
      </c>
      <c r="G125" s="54">
        <v>2</v>
      </c>
      <c r="H125" s="55" t="s">
        <v>477</v>
      </c>
      <c r="I125" s="55">
        <v>2569</v>
      </c>
      <c r="J125" s="56"/>
      <c r="K125" s="56" t="s">
        <v>462</v>
      </c>
      <c r="L125" s="55" t="s">
        <v>90</v>
      </c>
      <c r="M125" s="55" t="s">
        <v>134</v>
      </c>
      <c r="N125" s="13" t="s">
        <v>71</v>
      </c>
      <c r="O125" s="91" cm="1">
        <f t="array" ref="O125">IFERROR(_xlfn.IFS($T125="12C",Average!$C$3*'UG_NBT y2569-2571 (mat)'!$AD125,
$T125="24C",Average!$C$4*'UG_NBT y2569-2571 (mat)'!$AD125,
$T125="60C",Average!$C$5*'UG_NBT y2569-2571 (mat)'!$AD125,
$T125="144C",Average!$C$6*'UG_NBT y2569-2571 (mat)'!$AD125,
$T125="216C",Average!$C$7*'UG_NBT y2569-2571 (mat)'!$AD125)
+_xlfn.IFS($T125="12C",Average!$D$3*'UG_NBT y2569-2571 (mat)'!$AE125,
$T125="24C",Average!$D$4*'UG_NBT y2569-2571 (mat)'!$AE125,
$T125="60C",Average!$D$5*'UG_NBT y2569-2571 (mat)'!$AE125,
$T125="144C",Average!$D$6*'UG_NBT y2569-2571 (mat)'!$AE125,
$T125="216C",Average!$D$7*'UG_NBT y2569-2571 (mat)'!$AE125),0)</f>
        <v>285080</v>
      </c>
      <c r="P125" s="91">
        <f t="shared" si="13"/>
        <v>57900</v>
      </c>
      <c r="Q125" s="54" t="s">
        <v>787</v>
      </c>
      <c r="R125" s="30" t="s">
        <v>562</v>
      </c>
      <c r="S125" s="30" t="s">
        <v>563</v>
      </c>
      <c r="T125" s="54" t="s">
        <v>53</v>
      </c>
      <c r="U125" s="54"/>
      <c r="V125" s="54"/>
      <c r="W125" s="54">
        <f>AF125</f>
        <v>3.7</v>
      </c>
      <c r="X125" s="54"/>
      <c r="Y125" s="54"/>
      <c r="Z125" s="72" cm="1">
        <f t="array" ref="Z125">_xlfn.LET(
_xlpm.a,IF(ISNUMBER($U125),$U125,IFERROR(_xlfn.NUMBERVALUE(TRIM($U125)),0)),
_xlpm.b,IF(ISNUMBER($V125),$V125,IFERROR(_xlfn.NUMBERVALUE(TRIM($V125)),0)),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25" s="72" cm="1">
        <f t="array" ref="AA125">_xlfn.IFS($W125=0,0,AND($W125&gt;0,$W125&lt;=0.5),2,AND($W125&gt;0.5,$W125&lt;=1),3,AND($W125&gt;1,$W125&lt;=1.5),4,AND($W125&gt;1.5,$W125&lt;=2),5,AND($W125&gt;2,$W125&lt;=3),6,AND($W125&gt;3,$W125&lt;=4),7,$W125&gt;4,8)</f>
        <v>7</v>
      </c>
      <c r="AB125" s="72" cm="1">
        <f t="array" ref="AB125">_xlfn.IFS($X125=0,0,AND($X125&gt;0,$X125&lt;=0.5),2,AND($X125&gt;0.5,$X125&lt;=1),3,AND($X125&gt;1,$X125&lt;=1.5),4,AND($X125&gt;1.5,$X125&lt;=2),5,AND($X125&gt;2,$X125&lt;=3),6,AND($X125&gt;3,$X125&lt;=4),7,$X125&gt;4,8)</f>
        <v>0</v>
      </c>
      <c r="AC125" s="72" cm="1">
        <f t="array" ref="AC125">_xlfn.IFS($Y125=0,0,AND($Y125&gt;0,$Y125&lt;=0.5),2,AND($Y125&gt;0.5,$Y125&lt;=1),3,AND($Y125&gt;1,$Y125&lt;=1.5),4,AND($Y125&gt;1.5,$Y125&lt;=2),5,AND($Y125&gt;2,$Y125&lt;=3),6,AND($Y125&gt;3,$Y125&lt;=4),7,$Y125&gt;4,8)</f>
        <v>0</v>
      </c>
      <c r="AD125" s="54">
        <v>0.5</v>
      </c>
      <c r="AE125" s="54">
        <v>3.2</v>
      </c>
      <c r="AF125" s="54">
        <f t="shared" si="15"/>
        <v>3.7</v>
      </c>
      <c r="AG125" s="55">
        <v>2569</v>
      </c>
      <c r="AH125" s="54" t="s">
        <v>41</v>
      </c>
    </row>
    <row r="126" spans="1:35" ht="25.5" x14ac:dyDescent="0.2">
      <c r="A126" s="52">
        <v>123</v>
      </c>
      <c r="B126" s="52" t="s">
        <v>415</v>
      </c>
      <c r="C126" s="52" t="s">
        <v>564</v>
      </c>
      <c r="D126" s="52" t="s">
        <v>28</v>
      </c>
      <c r="E126" s="52" t="s">
        <v>565</v>
      </c>
      <c r="F126" s="53" t="s">
        <v>566</v>
      </c>
      <c r="G126" s="54">
        <v>10</v>
      </c>
      <c r="H126" s="55" t="s">
        <v>512</v>
      </c>
      <c r="I126" s="55">
        <v>2569</v>
      </c>
      <c r="J126" s="56"/>
      <c r="K126" s="56" t="s">
        <v>462</v>
      </c>
      <c r="L126" s="55" t="s">
        <v>34</v>
      </c>
      <c r="M126" s="55" t="s">
        <v>134</v>
      </c>
      <c r="N126" s="13" t="s">
        <v>71</v>
      </c>
      <c r="O126" s="91" cm="1">
        <f t="array" ref="O126">IFERROR(_xlfn.IFS($T126="12C",Average!$C$3*'UG_NBT y2569-2571 (mat)'!$AD126,
$T126="24C",Average!$C$4*'UG_NBT y2569-2571 (mat)'!$AD126,
$T126="60C",Average!$C$5*'UG_NBT y2569-2571 (mat)'!$AD126,
$T126="144C",Average!$C$6*'UG_NBT y2569-2571 (mat)'!$AD126,
$T126="216C",Average!$C$7*'UG_NBT y2569-2571 (mat)'!$AD126)
+_xlfn.IFS($T126="12C",Average!$D$3*'UG_NBT y2569-2571 (mat)'!$AE126,
$T126="24C",Average!$D$4*'UG_NBT y2569-2571 (mat)'!$AE126,
$T126="60C",Average!$D$5*'UG_NBT y2569-2571 (mat)'!$AE126,
$T126="144C",Average!$D$6*'UG_NBT y2569-2571 (mat)'!$AE126,
$T126="216C",Average!$D$7*'UG_NBT y2569-2571 (mat)'!$AE126),0)</f>
        <v>247424.8</v>
      </c>
      <c r="P126" s="91">
        <f t="shared" si="13"/>
        <v>104220</v>
      </c>
      <c r="Q126" s="54" t="s">
        <v>37</v>
      </c>
      <c r="R126" s="30" t="s">
        <v>567</v>
      </c>
      <c r="S126" s="30" t="s">
        <v>568</v>
      </c>
      <c r="T126" s="54" t="s">
        <v>53</v>
      </c>
      <c r="U126" s="54"/>
      <c r="V126" s="54"/>
      <c r="W126" s="54">
        <f>AF126</f>
        <v>2.9</v>
      </c>
      <c r="X126" s="54"/>
      <c r="Y126" s="54"/>
      <c r="Z126" s="72" cm="1">
        <f t="array" ref="Z126">_xlfn.LET(
_xlpm.a,IF(ISNUMBER($U126),$U126,IFERROR(_xlfn.NUMBERVALUE(TRIM($U126)),0)),
_xlpm.b,IF(ISNUMBER($V126),$V126,IFERROR(_xlfn.NUMBERVALUE(TRIM($V126)),0)),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26" s="72" cm="1">
        <f t="array" ref="AA126">_xlfn.IFS($W126=0,0,AND($W126&gt;0,$W126&lt;=0.5),2,AND($W126&gt;0.5,$W126&lt;=1),3,AND($W126&gt;1,$W126&lt;=1.5),4,AND($W126&gt;1.5,$W126&lt;=2),5,AND($W126&gt;2,$W126&lt;=3),6,AND($W126&gt;3,$W126&lt;=4),7,$W126&gt;4,8)</f>
        <v>6</v>
      </c>
      <c r="AB126" s="72" cm="1">
        <f t="array" ref="AB126">_xlfn.IFS($X126=0,0,AND($X126&gt;0,$X126&lt;=0.5),2,AND($X126&gt;0.5,$X126&lt;=1),3,AND($X126&gt;1,$X126&lt;=1.5),4,AND($X126&gt;1.5,$X126&lt;=2),5,AND($X126&gt;2,$X126&lt;=3),6,AND($X126&gt;3,$X126&lt;=4),7,$X126&gt;4,8)</f>
        <v>0</v>
      </c>
      <c r="AC126" s="72" cm="1">
        <f t="array" ref="AC126">_xlfn.IFS($Y126=0,0,AND($Y126&gt;0,$Y126&lt;=0.5),2,AND($Y126&gt;0.5,$Y126&lt;=1),3,AND($Y126&gt;1,$Y126&lt;=1.5),4,AND($Y126&gt;1.5,$Y126&lt;=2),5,AND($Y126&gt;2,$Y126&lt;=3),6,AND($Y126&gt;3,$Y126&lt;=4),7,$Y126&gt;4,8)</f>
        <v>0</v>
      </c>
      <c r="AD126" s="54">
        <v>0.9</v>
      </c>
      <c r="AE126" s="54">
        <v>2</v>
      </c>
      <c r="AF126" s="54">
        <f t="shared" si="15"/>
        <v>2.9</v>
      </c>
      <c r="AG126" s="55">
        <v>2568</v>
      </c>
      <c r="AH126" s="54" t="s">
        <v>41</v>
      </c>
    </row>
    <row r="127" spans="1:35" ht="38.25" x14ac:dyDescent="0.2">
      <c r="A127" s="52">
        <v>124</v>
      </c>
      <c r="B127" s="52" t="s">
        <v>415</v>
      </c>
      <c r="C127" s="52" t="s">
        <v>569</v>
      </c>
      <c r="D127" s="52" t="s">
        <v>28</v>
      </c>
      <c r="E127" s="52" t="s">
        <v>570</v>
      </c>
      <c r="F127" s="53" t="s">
        <v>571</v>
      </c>
      <c r="G127" s="54">
        <v>2</v>
      </c>
      <c r="H127" s="55" t="s">
        <v>477</v>
      </c>
      <c r="I127" s="55">
        <v>2569</v>
      </c>
      <c r="J127" s="56"/>
      <c r="K127" s="56" t="s">
        <v>462</v>
      </c>
      <c r="L127" s="70" t="s">
        <v>133</v>
      </c>
      <c r="M127" s="55" t="s">
        <v>134</v>
      </c>
      <c r="N127" s="13" t="s">
        <v>71</v>
      </c>
      <c r="O127" s="91" cm="1">
        <f t="array" ref="O127">IFERROR(_xlfn.IFS($T127="12C",Average!$C$3*'UG_NBT y2569-2571 (mat)'!$AD127,
$T127="24C",Average!$C$4*'UG_NBT y2569-2571 (mat)'!$AD127,
$T127="60C",Average!$C$5*'UG_NBT y2569-2571 (mat)'!$AD127,
$T127="144C",Average!$C$6*'UG_NBT y2569-2571 (mat)'!$AD127,
$T127="216C",Average!$C$7*'UG_NBT y2569-2571 (mat)'!$AD127)
+_xlfn.IFS($T127="12C",Average!$D$3*'UG_NBT y2569-2571 (mat)'!$AE127,
$T127="24C",Average!$D$4*'UG_NBT y2569-2571 (mat)'!$AE127,
$T127="60C",Average!$D$5*'UG_NBT y2569-2571 (mat)'!$AE127,
$T127="144C",Average!$D$6*'UG_NBT y2569-2571 (mat)'!$AE127,
$T127="216C",Average!$D$7*'UG_NBT y2569-2571 (mat)'!$AE127),0)</f>
        <v>977646</v>
      </c>
      <c r="P127" s="91">
        <f t="shared" si="13"/>
        <v>57900</v>
      </c>
      <c r="Q127" s="54" t="s">
        <v>787</v>
      </c>
      <c r="R127" s="30" t="s">
        <v>572</v>
      </c>
      <c r="S127" s="30" t="s">
        <v>573</v>
      </c>
      <c r="T127" s="54" t="s">
        <v>53</v>
      </c>
      <c r="U127" s="54"/>
      <c r="V127" s="54"/>
      <c r="W127" s="54">
        <f>AF127</f>
        <v>13.5</v>
      </c>
      <c r="X127" s="54"/>
      <c r="Y127" s="54"/>
      <c r="Z127" s="72" cm="1">
        <f t="array" ref="Z127">_xlfn.LET(
_xlpm.a,IF(ISNUMBER($U127),$U127,IFERROR(_xlfn.NUMBERVALUE(TRIM($U127)),0)),
_xlpm.b,IF(ISNUMBER($V127),$V127,IFERROR(_xlfn.NUMBERVALUE(TRIM($V127)),0)),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27" s="72" cm="1">
        <f t="array" ref="AA127">_xlfn.IFS($W127=0,0,AND($W127&gt;0,$W127&lt;=0.5),2,AND($W127&gt;0.5,$W127&lt;=1),3,AND($W127&gt;1,$W127&lt;=1.5),4,AND($W127&gt;1.5,$W127&lt;=2),5,AND($W127&gt;2,$W127&lt;=3),6,AND($W127&gt;3,$W127&lt;=4),7,$W127&gt;4,8)</f>
        <v>8</v>
      </c>
      <c r="AB127" s="72" cm="1">
        <f t="array" ref="AB127">_xlfn.IFS($X127=0,0,AND($X127&gt;0,$X127&lt;=0.5),2,AND($X127&gt;0.5,$X127&lt;=1),3,AND($X127&gt;1,$X127&lt;=1.5),4,AND($X127&gt;1.5,$X127&lt;=2),5,AND($X127&gt;2,$X127&lt;=3),6,AND($X127&gt;3,$X127&lt;=4),7,$X127&gt;4,8)</f>
        <v>0</v>
      </c>
      <c r="AC127" s="72" cm="1">
        <f t="array" ref="AC127">_xlfn.IFS($Y127=0,0,AND($Y127&gt;0,$Y127&lt;=0.5),2,AND($Y127&gt;0.5,$Y127&lt;=1),3,AND($Y127&gt;1,$Y127&lt;=1.5),4,AND($Y127&gt;1.5,$Y127&lt;=2),5,AND($Y127&gt;2,$Y127&lt;=3),6,AND($Y127&gt;3,$Y127&lt;=4),7,$Y127&gt;4,8)</f>
        <v>0</v>
      </c>
      <c r="AD127" s="54">
        <v>0.5</v>
      </c>
      <c r="AE127" s="54">
        <v>13</v>
      </c>
      <c r="AF127" s="54">
        <f t="shared" si="15"/>
        <v>13.5</v>
      </c>
      <c r="AG127" s="55">
        <v>2569</v>
      </c>
      <c r="AH127" s="54" t="s">
        <v>41</v>
      </c>
    </row>
    <row r="128" spans="1:35" x14ac:dyDescent="0.2">
      <c r="A128" s="52">
        <v>125</v>
      </c>
      <c r="B128" s="52" t="s">
        <v>415</v>
      </c>
      <c r="C128" s="52" t="s">
        <v>503</v>
      </c>
      <c r="D128" s="52" t="s">
        <v>28</v>
      </c>
      <c r="E128" s="52" t="s">
        <v>574</v>
      </c>
      <c r="F128" s="53" t="s">
        <v>575</v>
      </c>
      <c r="G128" s="54">
        <v>3.4</v>
      </c>
      <c r="H128" s="55" t="s">
        <v>506</v>
      </c>
      <c r="I128" s="55">
        <v>2569</v>
      </c>
      <c r="J128" s="56"/>
      <c r="K128" s="56" t="s">
        <v>576</v>
      </c>
      <c r="L128" s="70" t="s">
        <v>133</v>
      </c>
      <c r="M128" s="55" t="s">
        <v>577</v>
      </c>
      <c r="N128" s="13" t="s">
        <v>71</v>
      </c>
      <c r="O128" s="91" cm="1">
        <f t="array" ref="O128">IFERROR(_xlfn.IFS($T128="12C",Average!$C$3*'UG_NBT y2569-2571 (mat)'!$AD128,
$T128="24C",Average!$C$4*'UG_NBT y2569-2571 (mat)'!$AD128,
$T128="60C",Average!$C$5*'UG_NBT y2569-2571 (mat)'!$AD128,
$T128="144C",Average!$C$6*'UG_NBT y2569-2571 (mat)'!$AD128,
$T128="216C",Average!$C$7*'UG_NBT y2569-2571 (mat)'!$AD128)
+_xlfn.IFS($T128="12C",Average!$D$3*'UG_NBT y2569-2571 (mat)'!$AE128,
$T128="24C",Average!$D$4*'UG_NBT y2569-2571 (mat)'!$AE128,
$T128="60C",Average!$D$5*'UG_NBT y2569-2571 (mat)'!$AE128,
$T128="144C",Average!$D$6*'UG_NBT y2569-2571 (mat)'!$AE128,
$T128="216C",Average!$D$7*'UG_NBT y2569-2571 (mat)'!$AE128),0)</f>
        <v>200276</v>
      </c>
      <c r="P128" s="91">
        <f t="shared" si="13"/>
        <v>57900</v>
      </c>
      <c r="Q128" s="54" t="s">
        <v>787</v>
      </c>
      <c r="R128" s="30" t="s">
        <v>578</v>
      </c>
      <c r="S128" s="30" t="s">
        <v>579</v>
      </c>
      <c r="T128" s="54" t="s">
        <v>53</v>
      </c>
      <c r="U128" s="54"/>
      <c r="V128" s="54"/>
      <c r="W128" s="54">
        <f>AF128</f>
        <v>2.5</v>
      </c>
      <c r="X128" s="54"/>
      <c r="Y128" s="54"/>
      <c r="Z128" s="72" cm="1">
        <f t="array" ref="Z128">_xlfn.LET(
_xlpm.a,IF(ISNUMBER($U128),$U128,IFERROR(_xlfn.NUMBERVALUE(TRIM($U128)),0)),
_xlpm.b,IF(ISNUMBER($V128),$V128,IFERROR(_xlfn.NUMBERVALUE(TRIM($V128)),0)),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28" s="72" cm="1">
        <f t="array" ref="AA128">_xlfn.IFS($W128=0,0,AND($W128&gt;0,$W128&lt;=0.5),2,AND($W128&gt;0.5,$W128&lt;=1),3,AND($W128&gt;1,$W128&lt;=1.5),4,AND($W128&gt;1.5,$W128&lt;=2),5,AND($W128&gt;2,$W128&lt;=3),6,AND($W128&gt;3,$W128&lt;=4),7,$W128&gt;4,8)</f>
        <v>6</v>
      </c>
      <c r="AB128" s="72" cm="1">
        <f t="array" ref="AB128">_xlfn.IFS($X128=0,0,AND($X128&gt;0,$X128&lt;=0.5),2,AND($X128&gt;0.5,$X128&lt;=1),3,AND($X128&gt;1,$X128&lt;=1.5),4,AND($X128&gt;1.5,$X128&lt;=2),5,AND($X128&gt;2,$X128&lt;=3),6,AND($X128&gt;3,$X128&lt;=4),7,$X128&gt;4,8)</f>
        <v>0</v>
      </c>
      <c r="AC128" s="72" cm="1">
        <f t="array" ref="AC128">_xlfn.IFS($Y128=0,0,AND($Y128&gt;0,$Y128&lt;=0.5),2,AND($Y128&gt;0.5,$Y128&lt;=1),3,AND($Y128&gt;1,$Y128&lt;=1.5),4,AND($Y128&gt;1.5,$Y128&lt;=2),5,AND($Y128&gt;2,$Y128&lt;=3),6,AND($Y128&gt;3,$Y128&lt;=4),7,$Y128&gt;4,8)</f>
        <v>0</v>
      </c>
      <c r="AD128" s="54">
        <v>0.5</v>
      </c>
      <c r="AE128" s="54">
        <v>2</v>
      </c>
      <c r="AF128" s="54">
        <f t="shared" si="15"/>
        <v>2.5</v>
      </c>
      <c r="AG128" s="55">
        <v>2569</v>
      </c>
      <c r="AH128" s="54" t="s">
        <v>47</v>
      </c>
    </row>
    <row r="129" spans="1:35" x14ac:dyDescent="0.2">
      <c r="A129" s="52">
        <v>126</v>
      </c>
      <c r="B129" s="52" t="s">
        <v>415</v>
      </c>
      <c r="C129" s="52" t="s">
        <v>465</v>
      </c>
      <c r="D129" s="52" t="s">
        <v>28</v>
      </c>
      <c r="E129" s="52" t="s">
        <v>580</v>
      </c>
      <c r="F129" s="53" t="s">
        <v>581</v>
      </c>
      <c r="G129" s="54">
        <v>2</v>
      </c>
      <c r="H129" s="55" t="s">
        <v>468</v>
      </c>
      <c r="I129" s="55">
        <v>2569</v>
      </c>
      <c r="J129" s="56"/>
      <c r="K129" s="56" t="s">
        <v>576</v>
      </c>
      <c r="L129" s="55" t="s">
        <v>133</v>
      </c>
      <c r="M129" s="55" t="s">
        <v>134</v>
      </c>
      <c r="N129" s="13" t="s">
        <v>71</v>
      </c>
      <c r="O129" s="91" cm="1">
        <f t="array" ref="O129">IFERROR(_xlfn.IFS($T129="12C",Average!$C$3*'UG_NBT y2569-2571 (mat)'!$AD129,
$T129="24C",Average!$C$4*'UG_NBT y2569-2571 (mat)'!$AD129,
$T129="60C",Average!$C$5*'UG_NBT y2569-2571 (mat)'!$AD129,
$T129="144C",Average!$C$6*'UG_NBT y2569-2571 (mat)'!$AD129,
$T129="216C",Average!$C$7*'UG_NBT y2569-2571 (mat)'!$AD129)
+_xlfn.IFS($T129="12C",Average!$D$3*'UG_NBT y2569-2571 (mat)'!$AE129,
$T129="24C",Average!$D$4*'UG_NBT y2569-2571 (mat)'!$AE129,
$T129="60C",Average!$D$5*'UG_NBT y2569-2571 (mat)'!$AE129,
$T129="144C",Average!$D$6*'UG_NBT y2569-2571 (mat)'!$AE129,
$T129="216C",Average!$D$7*'UG_NBT y2569-2571 (mat)'!$AE129),0)</f>
        <v>296482</v>
      </c>
      <c r="P129" s="91">
        <f t="shared" si="13"/>
        <v>92640</v>
      </c>
      <c r="Q129" s="54" t="s">
        <v>787</v>
      </c>
      <c r="R129" s="30" t="s">
        <v>776</v>
      </c>
      <c r="S129" s="30" t="s">
        <v>777</v>
      </c>
      <c r="T129" s="54" t="s">
        <v>40</v>
      </c>
      <c r="U129" s="54"/>
      <c r="V129" s="54"/>
      <c r="W129" s="54"/>
      <c r="X129" s="54">
        <f>AF129</f>
        <v>1.9000000000000001</v>
      </c>
      <c r="Y129" s="54"/>
      <c r="Z129" s="72" cm="1">
        <f t="array" ref="Z129">_xlfn.LET(
_xlpm.a,IF(ISNUMBER($U129),$U129,IFERROR(_xlfn.NUMBERVALUE(TRIM($U129)),0)),
_xlpm.b,IF(ISNUMBER($V129),$V129,IFERROR(_xlfn.NUMBERVALUE(TRIM($V129)),0)),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29" s="72" cm="1">
        <f t="array" ref="AA129">_xlfn.IFS($W129=0,0,AND($W129&gt;0,$W129&lt;=0.5),2,AND($W129&gt;0.5,$W129&lt;=1),3,AND($W129&gt;1,$W129&lt;=1.5),4,AND($W129&gt;1.5,$W129&lt;=2),5,AND($W129&gt;2,$W129&lt;=3),6,AND($W129&gt;3,$W129&lt;=4),7,$W129&gt;4,8)</f>
        <v>0</v>
      </c>
      <c r="AB129" s="72" cm="1">
        <f t="array" ref="AB129">_xlfn.IFS($X129=0,0,AND($X129&gt;0,$X129&lt;=0.5),2,AND($X129&gt;0.5,$X129&lt;=1),3,AND($X129&gt;1,$X129&lt;=1.5),4,AND($X129&gt;1.5,$X129&lt;=2),5,AND($X129&gt;2,$X129&lt;=3),6,AND($X129&gt;3,$X129&lt;=4),7,$X129&gt;4,8)</f>
        <v>5</v>
      </c>
      <c r="AC129" s="72" cm="1">
        <f t="array" ref="AC129">_xlfn.IFS($Y129=0,0,AND($Y129&gt;0,$Y129&lt;=0.5),2,AND($Y129&gt;0.5,$Y129&lt;=1),3,AND($Y129&gt;1,$Y129&lt;=1.5),4,AND($Y129&gt;1.5,$Y129&lt;=2),5,AND($Y129&gt;2,$Y129&lt;=3),6,AND($Y129&gt;3,$Y129&lt;=4),7,$Y129&gt;4,8)</f>
        <v>0</v>
      </c>
      <c r="AD129" s="54">
        <v>0.8</v>
      </c>
      <c r="AE129" s="54">
        <v>1.1000000000000001</v>
      </c>
      <c r="AF129" s="54">
        <f t="shared" si="15"/>
        <v>1.9000000000000001</v>
      </c>
      <c r="AG129" s="55">
        <v>2570</v>
      </c>
      <c r="AH129" s="54" t="s">
        <v>59</v>
      </c>
    </row>
    <row r="130" spans="1:35" x14ac:dyDescent="0.2">
      <c r="A130" s="52">
        <v>127</v>
      </c>
      <c r="B130" s="52" t="s">
        <v>415</v>
      </c>
      <c r="C130" s="52" t="s">
        <v>458</v>
      </c>
      <c r="D130" s="52" t="s">
        <v>28</v>
      </c>
      <c r="E130" s="52" t="s">
        <v>582</v>
      </c>
      <c r="F130" s="53" t="s">
        <v>583</v>
      </c>
      <c r="G130" s="54">
        <v>13.6</v>
      </c>
      <c r="H130" s="55" t="s">
        <v>461</v>
      </c>
      <c r="I130" s="55">
        <v>2569</v>
      </c>
      <c r="J130" s="56"/>
      <c r="K130" s="56" t="s">
        <v>576</v>
      </c>
      <c r="L130" s="55" t="s">
        <v>90</v>
      </c>
      <c r="M130" s="55" t="s">
        <v>134</v>
      </c>
      <c r="N130" s="13" t="s">
        <v>71</v>
      </c>
      <c r="O130" s="91" cm="1">
        <f t="array" ref="O130">IFERROR(_xlfn.IFS($T130="12C",Average!$C$3*'UG_NBT y2569-2571 (mat)'!$AD130,
$T130="24C",Average!$C$4*'UG_NBT y2569-2571 (mat)'!$AD130,
$T130="60C",Average!$C$5*'UG_NBT y2569-2571 (mat)'!$AD130,
$T130="144C",Average!$C$6*'UG_NBT y2569-2571 (mat)'!$AD130,
$T130="216C",Average!$C$7*'UG_NBT y2569-2571 (mat)'!$AD130)
+_xlfn.IFS($T130="12C",Average!$D$3*'UG_NBT y2569-2571 (mat)'!$AE130,
$T130="24C",Average!$D$4*'UG_NBT y2569-2571 (mat)'!$AE130,
$T130="60C",Average!$D$5*'UG_NBT y2569-2571 (mat)'!$AE130,
$T130="144C",Average!$D$6*'UG_NBT y2569-2571 (mat)'!$AE130,
$T130="216C",Average!$D$7*'UG_NBT y2569-2571 (mat)'!$AE130),0)</f>
        <v>304014</v>
      </c>
      <c r="P130" s="91">
        <f t="shared" si="13"/>
        <v>173700</v>
      </c>
      <c r="Q130" s="54" t="s">
        <v>37</v>
      </c>
      <c r="R130" s="30" t="s">
        <v>584</v>
      </c>
      <c r="S130" s="30" t="s">
        <v>585</v>
      </c>
      <c r="T130" s="54" t="s">
        <v>53</v>
      </c>
      <c r="U130" s="54"/>
      <c r="V130" s="54"/>
      <c r="W130" s="54">
        <f>AF130</f>
        <v>3.3</v>
      </c>
      <c r="X130" s="54"/>
      <c r="Y130" s="54"/>
      <c r="Z130" s="72" cm="1">
        <f t="array" ref="Z130">_xlfn.LET(
_xlpm.a,IF(ISNUMBER($U130),$U130,IFERROR(_xlfn.NUMBERVALUE(TRIM($U130)),0)),
_xlpm.b,IF(ISNUMBER($V130),$V130,IFERROR(_xlfn.NUMBERVALUE(TRIM($V130)),0)),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30" s="72" cm="1">
        <f t="array" ref="AA130">_xlfn.IFS($W130=0,0,AND($W130&gt;0,$W130&lt;=0.5),2,AND($W130&gt;0.5,$W130&lt;=1),3,AND($W130&gt;1,$W130&lt;=1.5),4,AND($W130&gt;1.5,$W130&lt;=2),5,AND($W130&gt;2,$W130&lt;=3),6,AND($W130&gt;3,$W130&lt;=4),7,$W130&gt;4,8)</f>
        <v>7</v>
      </c>
      <c r="AB130" s="72" cm="1">
        <f t="array" ref="AB130">_xlfn.IFS($X130=0,0,AND($X130&gt;0,$X130&lt;=0.5),2,AND($X130&gt;0.5,$X130&lt;=1),3,AND($X130&gt;1,$X130&lt;=1.5),4,AND($X130&gt;1.5,$X130&lt;=2),5,AND($X130&gt;2,$X130&lt;=3),6,AND($X130&gt;3,$X130&lt;=4),7,$X130&gt;4,8)</f>
        <v>0</v>
      </c>
      <c r="AC130" s="72" cm="1">
        <f t="array" ref="AC130">_xlfn.IFS($Y130=0,0,AND($Y130&gt;0,$Y130&lt;=0.5),2,AND($Y130&gt;0.5,$Y130&lt;=1),3,AND($Y130&gt;1,$Y130&lt;=1.5),4,AND($Y130&gt;1.5,$Y130&lt;=2),5,AND($Y130&gt;2,$Y130&lt;=3),6,AND($Y130&gt;3,$Y130&lt;=4),7,$Y130&gt;4,8)</f>
        <v>0</v>
      </c>
      <c r="AD130" s="54">
        <v>1.5</v>
      </c>
      <c r="AE130" s="54">
        <v>1.8</v>
      </c>
      <c r="AF130" s="54">
        <f t="shared" si="15"/>
        <v>3.3</v>
      </c>
      <c r="AG130" s="55">
        <v>2569</v>
      </c>
      <c r="AH130" s="54" t="s">
        <v>59</v>
      </c>
    </row>
    <row r="131" spans="1:35" x14ac:dyDescent="0.2">
      <c r="A131" s="52">
        <v>128</v>
      </c>
      <c r="B131" s="52" t="s">
        <v>415</v>
      </c>
      <c r="C131" s="52" t="s">
        <v>586</v>
      </c>
      <c r="D131" s="52" t="s">
        <v>28</v>
      </c>
      <c r="E131" s="64" t="s">
        <v>587</v>
      </c>
      <c r="F131" s="53" t="s">
        <v>588</v>
      </c>
      <c r="G131" s="54">
        <v>6</v>
      </c>
      <c r="H131" s="55" t="s">
        <v>495</v>
      </c>
      <c r="I131" s="55">
        <v>2569</v>
      </c>
      <c r="J131" s="56"/>
      <c r="K131" s="56" t="s">
        <v>576</v>
      </c>
      <c r="L131" s="70" t="s">
        <v>133</v>
      </c>
      <c r="M131" s="55" t="s">
        <v>134</v>
      </c>
      <c r="N131" s="13" t="s">
        <v>71</v>
      </c>
      <c r="O131" s="91" cm="1">
        <f t="array" ref="O131">IFERROR(_xlfn.IFS($T131="12C",Average!$C$3*'UG_NBT y2569-2571 (mat)'!$AD131,
$T131="24C",Average!$C$4*'UG_NBT y2569-2571 (mat)'!$AD131,
$T131="60C",Average!$C$5*'UG_NBT y2569-2571 (mat)'!$AD131,
$T131="144C",Average!$C$6*'UG_NBT y2569-2571 (mat)'!$AD131,
$T131="216C",Average!$C$7*'UG_NBT y2569-2571 (mat)'!$AD131)
+_xlfn.IFS($T131="12C",Average!$D$3*'UG_NBT y2569-2571 (mat)'!$AE131,
$T131="24C",Average!$D$4*'UG_NBT y2569-2571 (mat)'!$AE131,
$T131="60C",Average!$D$5*'UG_NBT y2569-2571 (mat)'!$AE131,
$T131="144C",Average!$D$6*'UG_NBT y2569-2571 (mat)'!$AE131,
$T131="216C",Average!$D$7*'UG_NBT y2569-2571 (mat)'!$AE131),0)</f>
        <v>494956</v>
      </c>
      <c r="P131" s="91">
        <f t="shared" si="13"/>
        <v>347400</v>
      </c>
      <c r="Q131" s="54" t="s">
        <v>787</v>
      </c>
      <c r="R131" s="31" t="s">
        <v>589</v>
      </c>
      <c r="S131" s="31" t="s">
        <v>590</v>
      </c>
      <c r="T131" s="54" t="s">
        <v>53</v>
      </c>
      <c r="U131" s="54"/>
      <c r="V131" s="54"/>
      <c r="W131" s="54">
        <f>AF131</f>
        <v>5</v>
      </c>
      <c r="X131" s="54"/>
      <c r="Y131" s="54"/>
      <c r="Z131" s="72" cm="1">
        <f t="array" ref="Z131">_xlfn.LET(
_xlpm.a,IF(ISNUMBER($U131),$U131,IFERROR(_xlfn.NUMBERVALUE(TRIM($U131)),0)),
_xlpm.b,IF(ISNUMBER($V131),$V131,IFERROR(_xlfn.NUMBERVALUE(TRIM($V131)),0)),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31" s="72" cm="1">
        <f t="array" ref="AA131">_xlfn.IFS($W131=0,0,AND($W131&gt;0,$W131&lt;=0.5),2,AND($W131&gt;0.5,$W131&lt;=1),3,AND($W131&gt;1,$W131&lt;=1.5),4,AND($W131&gt;1.5,$W131&lt;=2),5,AND($W131&gt;2,$W131&lt;=3),6,AND($W131&gt;3,$W131&lt;=4),7,$W131&gt;4,8)</f>
        <v>8</v>
      </c>
      <c r="AB131" s="72" cm="1">
        <f t="array" ref="AB131">_xlfn.IFS($X131=0,0,AND($X131&gt;0,$X131&lt;=0.5),2,AND($X131&gt;0.5,$X131&lt;=1),3,AND($X131&gt;1,$X131&lt;=1.5),4,AND($X131&gt;1.5,$X131&lt;=2),5,AND($X131&gt;2,$X131&lt;=3),6,AND($X131&gt;3,$X131&lt;=4),7,$X131&gt;4,8)</f>
        <v>0</v>
      </c>
      <c r="AC131" s="72" cm="1">
        <f t="array" ref="AC131">_xlfn.IFS($Y131=0,0,AND($Y131&gt;0,$Y131&lt;=0.5),2,AND($Y131&gt;0.5,$Y131&lt;=1),3,AND($Y131&gt;1,$Y131&lt;=1.5),4,AND($Y131&gt;1.5,$Y131&lt;=2),5,AND($Y131&gt;2,$Y131&lt;=3),6,AND($Y131&gt;3,$Y131&lt;=4),7,$Y131&gt;4,8)</f>
        <v>0</v>
      </c>
      <c r="AD131" s="54">
        <v>3</v>
      </c>
      <c r="AE131" s="54">
        <v>2</v>
      </c>
      <c r="AF131" s="54">
        <f t="shared" si="15"/>
        <v>5</v>
      </c>
      <c r="AG131" s="55">
        <v>2570</v>
      </c>
      <c r="AH131" s="54" t="s">
        <v>59</v>
      </c>
    </row>
    <row r="132" spans="1:35" x14ac:dyDescent="0.2">
      <c r="A132" s="52">
        <v>129</v>
      </c>
      <c r="B132" s="52" t="s">
        <v>415</v>
      </c>
      <c r="C132" s="52" t="s">
        <v>515</v>
      </c>
      <c r="D132" s="52" t="s">
        <v>28</v>
      </c>
      <c r="E132" s="52" t="s">
        <v>591</v>
      </c>
      <c r="F132" s="53" t="s">
        <v>592</v>
      </c>
      <c r="G132" s="54">
        <v>1.6</v>
      </c>
      <c r="H132" s="55" t="s">
        <v>477</v>
      </c>
      <c r="I132" s="55">
        <v>2569</v>
      </c>
      <c r="J132" s="56"/>
      <c r="K132" s="56" t="s">
        <v>576</v>
      </c>
      <c r="L132" s="70" t="s">
        <v>34</v>
      </c>
      <c r="M132" s="55" t="s">
        <v>134</v>
      </c>
      <c r="N132" s="13" t="s">
        <v>71</v>
      </c>
      <c r="O132" s="91" cm="1">
        <f t="array" ref="O132">IFERROR(_xlfn.IFS($T132="12C",Average!$C$3*'UG_NBT y2569-2571 (mat)'!$AD132,
$T132="24C",Average!$C$4*'UG_NBT y2569-2571 (mat)'!$AD132,
$T132="60C",Average!$C$5*'UG_NBT y2569-2571 (mat)'!$AD132,
$T132="144C",Average!$C$6*'UG_NBT y2569-2571 (mat)'!$AD132,
$T132="216C",Average!$C$7*'UG_NBT y2569-2571 (mat)'!$AD132)
+_xlfn.IFS($T132="12C",Average!$D$3*'UG_NBT y2569-2571 (mat)'!$AE132,
$T132="24C",Average!$D$4*'UG_NBT y2569-2571 (mat)'!$AE132,
$T132="60C",Average!$D$5*'UG_NBT y2569-2571 (mat)'!$AE132,
$T132="144C",Average!$D$6*'UG_NBT y2569-2571 (mat)'!$AE132,
$T132="216C",Average!$D$7*'UG_NBT y2569-2571 (mat)'!$AE132),0)</f>
        <v>88685</v>
      </c>
      <c r="P132" s="91">
        <f t="shared" si="13"/>
        <v>115800</v>
      </c>
      <c r="Q132" s="54" t="s">
        <v>37</v>
      </c>
      <c r="R132" s="30" t="s">
        <v>593</v>
      </c>
      <c r="S132" s="30" t="s">
        <v>594</v>
      </c>
      <c r="T132" s="54" t="s">
        <v>453</v>
      </c>
      <c r="U132" s="54"/>
      <c r="V132" s="54">
        <f>AF132</f>
        <v>1.3</v>
      </c>
      <c r="W132" s="54"/>
      <c r="X132" s="54"/>
      <c r="Y132" s="54"/>
      <c r="Z132" s="72" cm="1">
        <f t="array" ref="Z132">_xlfn.LET(
_xlpm.a,IF(ISNUMBER($U132),$U132,IFERROR(_xlfn.NUMBERVALUE(TRIM($U132)),0)),
_xlpm.b,IF(ISNUMBER($V132),$V132,IFERROR(_xlfn.NUMBERVALUE(TRIM($V132)),0)),
_xlpm.score,_xlfn.LAMBDA(_xlpm.x,_xlfn.IFS(_xlpm.x&lt;0,0,_xlpm.x=0,0,_xlpm.x&lt;=0.5,2,_xlpm.x&lt;=1,3,_xlpm.x&lt;=1.5,4,
_xlpm.x&lt;=2,5,_xlpm.x&lt;=3,6,_xlpm.x&lt;=4,7,_xlpm.x&lt;=5,8,_xlpm.x&gt;5,9)),
_xlpm.score(_xlpm.a)+_xlpm.score(_xlpm.b))</f>
        <v>4</v>
      </c>
      <c r="AA132" s="72" cm="1">
        <f t="array" ref="AA132">_xlfn.IFS($W132=0,0,AND($W132&gt;0,$W132&lt;=0.5),2,AND($W132&gt;0.5,$W132&lt;=1),3,AND($W132&gt;1,$W132&lt;=1.5),4,AND($W132&gt;1.5,$W132&lt;=2),5,AND($W132&gt;2,$W132&lt;=3),6,AND($W132&gt;3,$W132&lt;=4),7,$W132&gt;4,8)</f>
        <v>0</v>
      </c>
      <c r="AB132" s="72" cm="1">
        <f t="array" ref="AB132">_xlfn.IFS($X132=0,0,AND($X132&gt;0,$X132&lt;=0.5),2,AND($X132&gt;0.5,$X132&lt;=1),3,AND($X132&gt;1,$X132&lt;=1.5),4,AND($X132&gt;1.5,$X132&lt;=2),5,AND($X132&gt;2,$X132&lt;=3),6,AND($X132&gt;3,$X132&lt;=4),7,$X132&gt;4,8)</f>
        <v>0</v>
      </c>
      <c r="AC132" s="72" cm="1">
        <f t="array" ref="AC132">_xlfn.IFS($Y132=0,0,AND($Y132&gt;0,$Y132&lt;=0.5),2,AND($Y132&gt;0.5,$Y132&lt;=1),3,AND($Y132&gt;1,$Y132&lt;=1.5),4,AND($Y132&gt;1.5,$Y132&lt;=2),5,AND($Y132&gt;2,$Y132&lt;=3),6,AND($Y132&gt;3,$Y132&lt;=4),7,$Y132&gt;4,8)</f>
        <v>0</v>
      </c>
      <c r="AD132" s="54">
        <v>1</v>
      </c>
      <c r="AE132" s="54">
        <v>0.3</v>
      </c>
      <c r="AF132" s="54">
        <f t="shared" si="15"/>
        <v>1.3</v>
      </c>
      <c r="AG132" s="55">
        <v>2567</v>
      </c>
      <c r="AH132" s="54" t="s">
        <v>47</v>
      </c>
    </row>
    <row r="133" spans="1:35" x14ac:dyDescent="0.2">
      <c r="A133" s="52">
        <v>130</v>
      </c>
      <c r="B133" s="52" t="s">
        <v>415</v>
      </c>
      <c r="C133" s="52" t="s">
        <v>416</v>
      </c>
      <c r="D133" s="52" t="s">
        <v>28</v>
      </c>
      <c r="E133" s="52" t="s">
        <v>595</v>
      </c>
      <c r="F133" s="53" t="s">
        <v>596</v>
      </c>
      <c r="G133" s="54">
        <v>5.4</v>
      </c>
      <c r="H133" s="55" t="s">
        <v>419</v>
      </c>
      <c r="I133" s="55">
        <v>2569</v>
      </c>
      <c r="J133" s="56"/>
      <c r="K133" s="56" t="s">
        <v>576</v>
      </c>
      <c r="L133" s="55" t="s">
        <v>34</v>
      </c>
      <c r="M133" s="55" t="s">
        <v>134</v>
      </c>
      <c r="N133" s="13" t="s">
        <v>71</v>
      </c>
      <c r="O133" s="94">
        <f>7000*5</f>
        <v>35000</v>
      </c>
      <c r="P133" s="94">
        <f>4800*12*5</f>
        <v>288000</v>
      </c>
      <c r="Q133" s="54" t="s">
        <v>787</v>
      </c>
      <c r="R133" s="30" t="s">
        <v>597</v>
      </c>
      <c r="S133" s="30" t="s">
        <v>598</v>
      </c>
      <c r="T133" s="54" t="s">
        <v>473</v>
      </c>
      <c r="U133" s="54"/>
      <c r="V133" s="54"/>
      <c r="W133" s="54"/>
      <c r="X133" s="54"/>
      <c r="Y133" s="54"/>
      <c r="Z133" s="72" cm="1">
        <f t="array" ref="Z133">_xlfn.LET(
_xlpm.a,IF(ISNUMBER($U133),$U133,IFERROR(_xlfn.NUMBERVALUE(TRIM($U133)),0)),
_xlpm.b,IF(ISNUMBER($V133),$V133,IFERROR(_xlfn.NUMBERVALUE(TRIM($V133)),0)),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33" s="72" cm="1">
        <f t="array" ref="AA133">_xlfn.IFS($W133=0,0,AND($W133&gt;0,$W133&lt;=0.5),2,AND($W133&gt;0.5,$W133&lt;=1),3,AND($W133&gt;1,$W133&lt;=1.5),4,AND($W133&gt;1.5,$W133&lt;=2),5,AND($W133&gt;2,$W133&lt;=3),6,AND($W133&gt;3,$W133&lt;=4),7,$W133&gt;4,8)</f>
        <v>0</v>
      </c>
      <c r="AB133" s="72" cm="1">
        <f t="array" ref="AB133">_xlfn.IFS($X133=0,0,AND($X133&gt;0,$X133&lt;=0.5),2,AND($X133&gt;0.5,$X133&lt;=1),3,AND($X133&gt;1,$X133&lt;=1.5),4,AND($X133&gt;1.5,$X133&lt;=2),5,AND($X133&gt;2,$X133&lt;=3),6,AND($X133&gt;3,$X133&lt;=4),7,$X133&gt;4,8)</f>
        <v>0</v>
      </c>
      <c r="AC133" s="72" cm="1">
        <f t="array" ref="AC133">_xlfn.IFS($Y133=0,0,AND($Y133&gt;0,$Y133&lt;=0.5),2,AND($Y133&gt;0.5,$Y133&lt;=1),3,AND($Y133&gt;1,$Y133&lt;=1.5),4,AND($Y133&gt;1.5,$Y133&lt;=2),5,AND($Y133&gt;2,$Y133&lt;=3),6,AND($Y133&gt;3,$Y133&lt;=4),7,$Y133&gt;4,8)</f>
        <v>0</v>
      </c>
      <c r="AD133" s="54">
        <v>0</v>
      </c>
      <c r="AE133" s="54">
        <v>0</v>
      </c>
      <c r="AF133" s="54">
        <f t="shared" si="15"/>
        <v>0</v>
      </c>
      <c r="AG133" s="55">
        <v>2569</v>
      </c>
      <c r="AH133" s="54" t="s">
        <v>41</v>
      </c>
      <c r="AI133" s="34" t="s">
        <v>473</v>
      </c>
    </row>
    <row r="134" spans="1:35" ht="25.5" x14ac:dyDescent="0.2">
      <c r="A134" s="52">
        <v>131</v>
      </c>
      <c r="B134" s="52" t="s">
        <v>415</v>
      </c>
      <c r="C134" s="52" t="s">
        <v>503</v>
      </c>
      <c r="D134" s="52" t="s">
        <v>28</v>
      </c>
      <c r="E134" s="93" t="s">
        <v>810</v>
      </c>
      <c r="F134" s="53" t="s">
        <v>600</v>
      </c>
      <c r="G134" s="54">
        <v>4.4000000000000004</v>
      </c>
      <c r="H134" s="55" t="s">
        <v>506</v>
      </c>
      <c r="I134" s="55">
        <v>2569</v>
      </c>
      <c r="J134" s="56"/>
      <c r="K134" s="56" t="s">
        <v>576</v>
      </c>
      <c r="L134" s="54" t="s">
        <v>69</v>
      </c>
      <c r="M134" s="55" t="s">
        <v>70</v>
      </c>
      <c r="N134" s="55" t="s">
        <v>71</v>
      </c>
      <c r="O134" s="54">
        <v>0</v>
      </c>
      <c r="P134" s="54">
        <v>0</v>
      </c>
      <c r="Q134" s="54" t="s">
        <v>69</v>
      </c>
      <c r="R134" s="30" t="s">
        <v>601</v>
      </c>
      <c r="S134" s="30" t="s">
        <v>602</v>
      </c>
      <c r="T134" s="54" t="s">
        <v>69</v>
      </c>
      <c r="U134" s="54"/>
      <c r="V134" s="54"/>
      <c r="W134" s="54"/>
      <c r="X134" s="54"/>
      <c r="Y134" s="54"/>
      <c r="Z134" s="72" cm="1">
        <f t="array" ref="Z134">_xlfn.LET(
_xlpm.a,IF(ISNUMBER($U134),$U134,IFERROR(_xlfn.NUMBERVALUE(TRIM($U134)),0)),
_xlpm.b,IF(ISNUMBER($V134),$V134,IFERROR(_xlfn.NUMBERVALUE(TRIM($V134)),0)),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34" s="72" cm="1">
        <f t="array" ref="AA134">_xlfn.IFS($W134=0,0,AND($W134&gt;0,$W134&lt;=0.5),2,AND($W134&gt;0.5,$W134&lt;=1),3,AND($W134&gt;1,$W134&lt;=1.5),4,AND($W134&gt;1.5,$W134&lt;=2),5,AND($W134&gt;2,$W134&lt;=3),6,AND($W134&gt;3,$W134&lt;=4),7,$W134&gt;4,8)</f>
        <v>0</v>
      </c>
      <c r="AB134" s="72" cm="1">
        <f t="array" ref="AB134">_xlfn.IFS($X134=0,0,AND($X134&gt;0,$X134&lt;=0.5),2,AND($X134&gt;0.5,$X134&lt;=1),3,AND($X134&gt;1,$X134&lt;=1.5),4,AND($X134&gt;1.5,$X134&lt;=2),5,AND($X134&gt;2,$X134&lt;=3),6,AND($X134&gt;3,$X134&lt;=4),7,$X134&gt;4,8)</f>
        <v>0</v>
      </c>
      <c r="AC134" s="72" cm="1">
        <f t="array" ref="AC134">_xlfn.IFS($Y134=0,0,AND($Y134&gt;0,$Y134&lt;=0.5),2,AND($Y134&gt;0.5,$Y134&lt;=1),3,AND($Y134&gt;1,$Y134&lt;=1.5),4,AND($Y134&gt;1.5,$Y134&lt;=2),5,AND($Y134&gt;2,$Y134&lt;=3),6,AND($Y134&gt;3,$Y134&lt;=4),7,$Y134&gt;4,8)</f>
        <v>0</v>
      </c>
      <c r="AD134" s="54">
        <v>0</v>
      </c>
      <c r="AE134" s="54">
        <v>0</v>
      </c>
      <c r="AF134" s="54">
        <f t="shared" si="15"/>
        <v>0</v>
      </c>
      <c r="AG134" s="55" t="s">
        <v>69</v>
      </c>
      <c r="AH134" s="54" t="s">
        <v>69</v>
      </c>
      <c r="AI134" s="65" t="s">
        <v>603</v>
      </c>
    </row>
    <row r="135" spans="1:35" ht="25.5" x14ac:dyDescent="0.2">
      <c r="A135" s="52">
        <v>132</v>
      </c>
      <c r="B135" s="52" t="s">
        <v>415</v>
      </c>
      <c r="C135" s="52" t="s">
        <v>604</v>
      </c>
      <c r="D135" s="52" t="s">
        <v>28</v>
      </c>
      <c r="E135" s="93" t="s">
        <v>605</v>
      </c>
      <c r="F135" s="53" t="s">
        <v>606</v>
      </c>
      <c r="G135" s="54">
        <v>2.6</v>
      </c>
      <c r="H135" s="55" t="s">
        <v>607</v>
      </c>
      <c r="I135" s="55">
        <v>2569</v>
      </c>
      <c r="J135" s="56"/>
      <c r="K135" s="56" t="s">
        <v>576</v>
      </c>
      <c r="L135" s="55" t="s">
        <v>90</v>
      </c>
      <c r="M135" s="55" t="s">
        <v>134</v>
      </c>
      <c r="N135" s="13" t="s">
        <v>71</v>
      </c>
      <c r="O135" s="91" cm="1">
        <f t="array" ref="O135">IFERROR(_xlfn.IFS($T135="12C",Average!$C$3*'UG_NBT y2569-2571 (mat)'!$AD135,
$T135="24C",Average!$C$4*'UG_NBT y2569-2571 (mat)'!$AD135,
$T135="60C",Average!$C$5*'UG_NBT y2569-2571 (mat)'!$AD135,
$T135="144C",Average!$C$6*'UG_NBT y2569-2571 (mat)'!$AD135,
$T135="216C",Average!$C$7*'UG_NBT y2569-2571 (mat)'!$AD135)
+_xlfn.IFS($T135="12C",Average!$D$3*'UG_NBT y2569-2571 (mat)'!$AE135,
$T135="24C",Average!$D$4*'UG_NBT y2569-2571 (mat)'!$AE135,
$T135="60C",Average!$D$5*'UG_NBT y2569-2571 (mat)'!$AE135,
$T135="144C",Average!$D$6*'UG_NBT y2569-2571 (mat)'!$AE135,
$T135="216C",Average!$D$7*'UG_NBT y2569-2571 (mat)'!$AE135),0)</f>
        <v>423822</v>
      </c>
      <c r="P135" s="91">
        <f t="shared" ref="P135:P147" si="16">AD135*9650*12</f>
        <v>92640</v>
      </c>
      <c r="Q135" s="54" t="s">
        <v>37</v>
      </c>
      <c r="R135" s="30" t="s">
        <v>608</v>
      </c>
      <c r="S135" s="30" t="s">
        <v>609</v>
      </c>
      <c r="T135" s="54" t="s">
        <v>40</v>
      </c>
      <c r="U135" s="54"/>
      <c r="V135" s="54"/>
      <c r="W135" s="54"/>
      <c r="X135" s="54">
        <f>AF135</f>
        <v>2.9000000000000004</v>
      </c>
      <c r="Y135" s="54"/>
      <c r="Z135" s="72" cm="1">
        <f t="array" ref="Z135">_xlfn.LET(
_xlpm.a,IF(ISNUMBER($U135),$U135,IFERROR(_xlfn.NUMBERVALUE(TRIM($U135)),0)),
_xlpm.b,IF(ISNUMBER($V135),$V135,IFERROR(_xlfn.NUMBERVALUE(TRIM($V135)),0)),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35" s="72" cm="1">
        <f t="array" ref="AA135">_xlfn.IFS($W135=0,0,AND($W135&gt;0,$W135&lt;=0.5),2,AND($W135&gt;0.5,$W135&lt;=1),3,AND($W135&gt;1,$W135&lt;=1.5),4,AND($W135&gt;1.5,$W135&lt;=2),5,AND($W135&gt;2,$W135&lt;=3),6,AND($W135&gt;3,$W135&lt;=4),7,$W135&gt;4,8)</f>
        <v>0</v>
      </c>
      <c r="AB135" s="72" cm="1">
        <f t="array" ref="AB135">_xlfn.IFS($X135=0,0,AND($X135&gt;0,$X135&lt;=0.5),2,AND($X135&gt;0.5,$X135&lt;=1),3,AND($X135&gt;1,$X135&lt;=1.5),4,AND($X135&gt;1.5,$X135&lt;=2),5,AND($X135&gt;2,$X135&lt;=3),6,AND($X135&gt;3,$X135&lt;=4),7,$X135&gt;4,8)</f>
        <v>6</v>
      </c>
      <c r="AC135" s="72" cm="1">
        <f t="array" ref="AC135">_xlfn.IFS($Y135=0,0,AND($Y135&gt;0,$Y135&lt;=0.5),2,AND($Y135&gt;0.5,$Y135&lt;=1),3,AND($Y135&gt;1,$Y135&lt;=1.5),4,AND($Y135&gt;1.5,$Y135&lt;=2),5,AND($Y135&gt;2,$Y135&lt;=3),6,AND($Y135&gt;3,$Y135&lt;=4),7,$Y135&gt;4,8)</f>
        <v>0</v>
      </c>
      <c r="AD135" s="54">
        <v>0.8</v>
      </c>
      <c r="AE135" s="54">
        <v>2.1</v>
      </c>
      <c r="AF135" s="54">
        <f t="shared" si="15"/>
        <v>2.9000000000000004</v>
      </c>
      <c r="AG135" s="55">
        <v>2569</v>
      </c>
      <c r="AH135" s="54" t="s">
        <v>59</v>
      </c>
    </row>
    <row r="136" spans="1:35" x14ac:dyDescent="0.2">
      <c r="A136" s="52">
        <v>133</v>
      </c>
      <c r="B136" s="52" t="s">
        <v>415</v>
      </c>
      <c r="C136" s="52" t="s">
        <v>610</v>
      </c>
      <c r="D136" s="52" t="s">
        <v>28</v>
      </c>
      <c r="E136" s="52" t="s">
        <v>611</v>
      </c>
      <c r="F136" s="53" t="s">
        <v>612</v>
      </c>
      <c r="G136" s="54">
        <v>3.4</v>
      </c>
      <c r="H136" s="55" t="s">
        <v>613</v>
      </c>
      <c r="I136" s="55">
        <v>2569</v>
      </c>
      <c r="J136" s="56"/>
      <c r="K136" s="56" t="s">
        <v>576</v>
      </c>
      <c r="L136" s="55" t="s">
        <v>614</v>
      </c>
      <c r="M136" s="55" t="s">
        <v>134</v>
      </c>
      <c r="N136" s="13" t="s">
        <v>71</v>
      </c>
      <c r="O136" s="91" cm="1">
        <f t="array" ref="O136">IFERROR(_xlfn.IFS($T136="12C",Average!$C$3*'UG_NBT y2569-2571 (mat)'!$AD136,
$T136="24C",Average!$C$4*'UG_NBT y2569-2571 (mat)'!$AD136,
$T136="60C",Average!$C$5*'UG_NBT y2569-2571 (mat)'!$AD136,
$T136="144C",Average!$C$6*'UG_NBT y2569-2571 (mat)'!$AD136,
$T136="216C",Average!$C$7*'UG_NBT y2569-2571 (mat)'!$AD136)
+_xlfn.IFS($T136="12C",Average!$D$3*'UG_NBT y2569-2571 (mat)'!$AE136,
$T136="24C",Average!$D$4*'UG_NBT y2569-2571 (mat)'!$AE136,
$T136="60C",Average!$D$5*'UG_NBT y2569-2571 (mat)'!$AE136,
$T136="144C",Average!$D$6*'UG_NBT y2569-2571 (mat)'!$AE136,
$T136="216C",Average!$D$7*'UG_NBT y2569-2571 (mat)'!$AE136),0)</f>
        <v>39709.599999999999</v>
      </c>
      <c r="P136" s="91">
        <f t="shared" si="16"/>
        <v>34740</v>
      </c>
      <c r="Q136" s="54" t="s">
        <v>787</v>
      </c>
      <c r="R136" s="30" t="s">
        <v>615</v>
      </c>
      <c r="S136" s="30" t="s">
        <v>616</v>
      </c>
      <c r="T136" s="54" t="s">
        <v>87</v>
      </c>
      <c r="U136" s="54">
        <f>AF136</f>
        <v>1</v>
      </c>
      <c r="V136" s="54"/>
      <c r="W136" s="54"/>
      <c r="X136" s="54"/>
      <c r="Y136" s="54"/>
      <c r="Z136" s="72" cm="1">
        <f t="array" ref="Z136">_xlfn.LET(
_xlpm.a,IF(ISNUMBER($U136),$U136,IFERROR(_xlfn.NUMBERVALUE(TRIM($U136)),0)),
_xlpm.b,IF(ISNUMBER($V136),$V136,IFERROR(_xlfn.NUMBERVALUE(TRIM($V136)),0)),
_xlpm.score,_xlfn.LAMBDA(_xlpm.x,_xlfn.IFS(_xlpm.x&lt;0,0,_xlpm.x=0,0,_xlpm.x&lt;=0.5,2,_xlpm.x&lt;=1,3,_xlpm.x&lt;=1.5,4,
_xlpm.x&lt;=2,5,_xlpm.x&lt;=3,6,_xlpm.x&lt;=4,7,_xlpm.x&lt;=5,8,_xlpm.x&gt;5,9)),
_xlpm.score(_xlpm.a)+_xlpm.score(_xlpm.b))</f>
        <v>3</v>
      </c>
      <c r="AA136" s="72" cm="1">
        <f t="array" ref="AA136">_xlfn.IFS($W136=0,0,AND($W136&gt;0,$W136&lt;=0.5),2,AND($W136&gt;0.5,$W136&lt;=1),3,AND($W136&gt;1,$W136&lt;=1.5),4,AND($W136&gt;1.5,$W136&lt;=2),5,AND($W136&gt;2,$W136&lt;=3),6,AND($W136&gt;3,$W136&lt;=4),7,$W136&gt;4,8)</f>
        <v>0</v>
      </c>
      <c r="AB136" s="72" cm="1">
        <f t="array" ref="AB136">_xlfn.IFS($X136=0,0,AND($X136&gt;0,$X136&lt;=0.5),2,AND($X136&gt;0.5,$X136&lt;=1),3,AND($X136&gt;1,$X136&lt;=1.5),4,AND($X136&gt;1.5,$X136&lt;=2),5,AND($X136&gt;2,$X136&lt;=3),6,AND($X136&gt;3,$X136&lt;=4),7,$X136&gt;4,8)</f>
        <v>0</v>
      </c>
      <c r="AC136" s="72" cm="1">
        <f t="array" ref="AC136">_xlfn.IFS($Y136=0,0,AND($Y136&gt;0,$Y136&lt;=0.5),2,AND($Y136&gt;0.5,$Y136&lt;=1),3,AND($Y136&gt;1,$Y136&lt;=1.5),4,AND($Y136&gt;1.5,$Y136&lt;=2),5,AND($Y136&gt;2,$Y136&lt;=3),6,AND($Y136&gt;3,$Y136&lt;=4),7,$Y136&gt;4,8)</f>
        <v>0</v>
      </c>
      <c r="AD136" s="54">
        <v>0.3</v>
      </c>
      <c r="AE136" s="54">
        <v>0.7</v>
      </c>
      <c r="AF136" s="54">
        <f t="shared" si="15"/>
        <v>1</v>
      </c>
      <c r="AG136" s="55">
        <v>2570</v>
      </c>
      <c r="AH136" s="54" t="s">
        <v>41</v>
      </c>
    </row>
    <row r="137" spans="1:35" x14ac:dyDescent="0.2">
      <c r="A137" s="52">
        <v>134</v>
      </c>
      <c r="B137" s="52" t="s">
        <v>415</v>
      </c>
      <c r="C137" s="52" t="s">
        <v>617</v>
      </c>
      <c r="D137" s="52" t="s">
        <v>28</v>
      </c>
      <c r="E137" s="52" t="s">
        <v>618</v>
      </c>
      <c r="F137" s="53" t="s">
        <v>619</v>
      </c>
      <c r="G137" s="54">
        <v>4.04</v>
      </c>
      <c r="H137" s="55" t="s">
        <v>56</v>
      </c>
      <c r="I137" s="55">
        <v>2569</v>
      </c>
      <c r="J137" s="56"/>
      <c r="K137" s="56" t="s">
        <v>576</v>
      </c>
      <c r="L137" s="70" t="s">
        <v>34</v>
      </c>
      <c r="M137" s="55" t="s">
        <v>84</v>
      </c>
      <c r="N137" s="13" t="s">
        <v>71</v>
      </c>
      <c r="O137" s="91" cm="1">
        <f t="array" ref="O137">IFERROR(_xlfn.IFS($T137="12C",Average!$C$3*'UG_NBT y2569-2571 (mat)'!$AD137,
$T137="24C",Average!$C$4*'UG_NBT y2569-2571 (mat)'!$AD137,
$T137="60C",Average!$C$5*'UG_NBT y2569-2571 (mat)'!$AD137,
$T137="144C",Average!$C$6*'UG_NBT y2569-2571 (mat)'!$AD137,
$T137="216C",Average!$C$7*'UG_NBT y2569-2571 (mat)'!$AD137)
+_xlfn.IFS($T137="12C",Average!$D$3*'UG_NBT y2569-2571 (mat)'!$AE137,
$T137="24C",Average!$D$4*'UG_NBT y2569-2571 (mat)'!$AE137,
$T137="60C",Average!$D$5*'UG_NBT y2569-2571 (mat)'!$AE137,
$T137="144C",Average!$D$6*'UG_NBT y2569-2571 (mat)'!$AE137,
$T137="216C",Average!$D$7*'UG_NBT y2569-2571 (mat)'!$AE137),0)</f>
        <v>41196</v>
      </c>
      <c r="P137" s="91">
        <f t="shared" si="16"/>
        <v>0</v>
      </c>
      <c r="Q137" s="54" t="s">
        <v>37</v>
      </c>
      <c r="R137" s="30" t="s">
        <v>785</v>
      </c>
      <c r="S137" s="30" t="s">
        <v>786</v>
      </c>
      <c r="T137" s="54" t="s">
        <v>87</v>
      </c>
      <c r="U137" s="54">
        <f>AF137</f>
        <v>1.2</v>
      </c>
      <c r="V137" s="54"/>
      <c r="W137" s="54"/>
      <c r="X137" s="54"/>
      <c r="Y137" s="54"/>
      <c r="Z137" s="72" cm="1">
        <f t="array" ref="Z137">_xlfn.LET(
_xlpm.a,IF(ISNUMBER($U137),$U137,IFERROR(_xlfn.NUMBERVALUE(TRIM($U137)),0)),
_xlpm.b,IF(ISNUMBER($V137),$V137,IFERROR(_xlfn.NUMBERVALUE(TRIM($V137)),0)),
_xlpm.score,_xlfn.LAMBDA(_xlpm.x,_xlfn.IFS(_xlpm.x&lt;0,0,_xlpm.x=0,0,_xlpm.x&lt;=0.5,2,_xlpm.x&lt;=1,3,_xlpm.x&lt;=1.5,4,
_xlpm.x&lt;=2,5,_xlpm.x&lt;=3,6,_xlpm.x&lt;=4,7,_xlpm.x&lt;=5,8,_xlpm.x&gt;5,9)),
_xlpm.score(_xlpm.a)+_xlpm.score(_xlpm.b))</f>
        <v>4</v>
      </c>
      <c r="AA137" s="72" cm="1">
        <f t="array" ref="AA137">_xlfn.IFS($W137=0,0,AND($W137&gt;0,$W137&lt;=0.5),2,AND($W137&gt;0.5,$W137&lt;=1),3,AND($W137&gt;1,$W137&lt;=1.5),4,AND($W137&gt;1.5,$W137&lt;=2),5,AND($W137&gt;2,$W137&lt;=3),6,AND($W137&gt;3,$W137&lt;=4),7,$W137&gt;4,8)</f>
        <v>0</v>
      </c>
      <c r="AB137" s="72" cm="1">
        <f t="array" ref="AB137">_xlfn.IFS($X137=0,0,AND($X137&gt;0,$X137&lt;=0.5),2,AND($X137&gt;0.5,$X137&lt;=1),3,AND($X137&gt;1,$X137&lt;=1.5),4,AND($X137&gt;1.5,$X137&lt;=2),5,AND($X137&gt;2,$X137&lt;=3),6,AND($X137&gt;3,$X137&lt;=4),7,$X137&gt;4,8)</f>
        <v>0</v>
      </c>
      <c r="AC137" s="72" cm="1">
        <f t="array" ref="AC137">_xlfn.IFS($Y137=0,0,AND($Y137&gt;0,$Y137&lt;=0.5),2,AND($Y137&gt;0.5,$Y137&lt;=1),3,AND($Y137&gt;1,$Y137&lt;=1.5),4,AND($Y137&gt;1.5,$Y137&lt;=2),5,AND($Y137&gt;2,$Y137&lt;=3),6,AND($Y137&gt;3,$Y137&lt;=4),7,$Y137&gt;4,8)</f>
        <v>0</v>
      </c>
      <c r="AD137" s="54">
        <v>0</v>
      </c>
      <c r="AE137" s="54">
        <v>1.2</v>
      </c>
      <c r="AF137" s="54">
        <f t="shared" si="15"/>
        <v>1.2</v>
      </c>
      <c r="AG137" s="55">
        <v>2568</v>
      </c>
      <c r="AH137" s="54" t="s">
        <v>41</v>
      </c>
    </row>
    <row r="138" spans="1:35" x14ac:dyDescent="0.2">
      <c r="A138" s="52">
        <v>135</v>
      </c>
      <c r="B138" s="52" t="s">
        <v>415</v>
      </c>
      <c r="C138" s="52" t="s">
        <v>465</v>
      </c>
      <c r="D138" s="52" t="s">
        <v>28</v>
      </c>
      <c r="E138" s="52" t="s">
        <v>620</v>
      </c>
      <c r="F138" s="53" t="s">
        <v>621</v>
      </c>
      <c r="G138" s="54">
        <v>1.7</v>
      </c>
      <c r="H138" s="55" t="s">
        <v>468</v>
      </c>
      <c r="I138" s="55">
        <v>2569</v>
      </c>
      <c r="J138" s="56"/>
      <c r="K138" s="56" t="s">
        <v>576</v>
      </c>
      <c r="L138" s="55" t="s">
        <v>34</v>
      </c>
      <c r="M138" s="55" t="s">
        <v>134</v>
      </c>
      <c r="N138" s="13" t="s">
        <v>71</v>
      </c>
      <c r="O138" s="91" cm="1">
        <f t="array" ref="O138">IFERROR(_xlfn.IFS($T138="12C",Average!$C$3*'UG_NBT y2569-2571 (mat)'!$AD138,
$T138="24C",Average!$C$4*'UG_NBT y2569-2571 (mat)'!$AD138,
$T138="60C",Average!$C$5*'UG_NBT y2569-2571 (mat)'!$AD138,
$T138="144C",Average!$C$6*'UG_NBT y2569-2571 (mat)'!$AD138,
$T138="216C",Average!$C$7*'UG_NBT y2569-2571 (mat)'!$AD138)
+_xlfn.IFS($T138="12C",Average!$D$3*'UG_NBT y2569-2571 (mat)'!$AE138,
$T138="24C",Average!$D$4*'UG_NBT y2569-2571 (mat)'!$AE138,
$T138="60C",Average!$D$5*'UG_NBT y2569-2571 (mat)'!$AE138,
$T138="144C",Average!$D$6*'UG_NBT y2569-2571 (mat)'!$AE138,
$T138="216C",Average!$D$7*'UG_NBT y2569-2571 (mat)'!$AE138),0)</f>
        <v>395137</v>
      </c>
      <c r="P138" s="91">
        <f t="shared" si="16"/>
        <v>173700</v>
      </c>
      <c r="Q138" s="54" t="s">
        <v>37</v>
      </c>
      <c r="R138" s="30" t="s">
        <v>622</v>
      </c>
      <c r="S138" s="30" t="s">
        <v>623</v>
      </c>
      <c r="T138" s="54" t="s">
        <v>40</v>
      </c>
      <c r="U138" s="54"/>
      <c r="V138" s="54"/>
      <c r="W138" s="54"/>
      <c r="X138" s="54">
        <f>AF138</f>
        <v>2.2999999999999998</v>
      </c>
      <c r="Y138" s="54"/>
      <c r="Z138" s="72" cm="1">
        <f t="array" ref="Z138">_xlfn.LET(
_xlpm.a,IF(ISNUMBER($U138),$U138,IFERROR(_xlfn.NUMBERVALUE(TRIM($U138)),0)),
_xlpm.b,IF(ISNUMBER($V138),$V138,IFERROR(_xlfn.NUMBERVALUE(TRIM($V138)),0)),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38" s="72" cm="1">
        <f t="array" ref="AA138">_xlfn.IFS($W138=0,0,AND($W138&gt;0,$W138&lt;=0.5),2,AND($W138&gt;0.5,$W138&lt;=1),3,AND($W138&gt;1,$W138&lt;=1.5),4,AND($W138&gt;1.5,$W138&lt;=2),5,AND($W138&gt;2,$W138&lt;=3),6,AND($W138&gt;3,$W138&lt;=4),7,$W138&gt;4,8)</f>
        <v>0</v>
      </c>
      <c r="AB138" s="72" cm="1">
        <f t="array" ref="AB138">_xlfn.IFS($X138=0,0,AND($X138&gt;0,$X138&lt;=0.5),2,AND($X138&gt;0.5,$X138&lt;=1),3,AND($X138&gt;1,$X138&lt;=1.5),4,AND($X138&gt;1.5,$X138&lt;=2),5,AND($X138&gt;2,$X138&lt;=3),6,AND($X138&gt;3,$X138&lt;=4),7,$X138&gt;4,8)</f>
        <v>6</v>
      </c>
      <c r="AC138" s="72" cm="1">
        <f t="array" ref="AC138">_xlfn.IFS($Y138=0,0,AND($Y138&gt;0,$Y138&lt;=0.5),2,AND($Y138&gt;0.5,$Y138&lt;=1),3,AND($Y138&gt;1,$Y138&lt;=1.5),4,AND($Y138&gt;1.5,$Y138&lt;=2),5,AND($Y138&gt;2,$Y138&lt;=3),6,AND($Y138&gt;3,$Y138&lt;=4),7,$Y138&gt;4,8)</f>
        <v>0</v>
      </c>
      <c r="AD138" s="54">
        <v>1.5</v>
      </c>
      <c r="AE138" s="54">
        <v>0.8</v>
      </c>
      <c r="AF138" s="54">
        <f t="shared" si="15"/>
        <v>2.2999999999999998</v>
      </c>
      <c r="AG138" s="55">
        <v>2568</v>
      </c>
      <c r="AH138" s="54" t="s">
        <v>47</v>
      </c>
    </row>
    <row r="139" spans="1:35" x14ac:dyDescent="0.2">
      <c r="A139" s="52">
        <v>136</v>
      </c>
      <c r="B139" s="52" t="s">
        <v>415</v>
      </c>
      <c r="C139" s="52" t="s">
        <v>416</v>
      </c>
      <c r="D139" s="52" t="s">
        <v>28</v>
      </c>
      <c r="E139" s="52" t="s">
        <v>624</v>
      </c>
      <c r="F139" s="53" t="s">
        <v>625</v>
      </c>
      <c r="G139" s="54">
        <v>0.8</v>
      </c>
      <c r="H139" s="55" t="s">
        <v>419</v>
      </c>
      <c r="I139" s="55">
        <v>2569</v>
      </c>
      <c r="J139" s="56"/>
      <c r="K139" s="56" t="s">
        <v>576</v>
      </c>
      <c r="L139" s="55" t="s">
        <v>34</v>
      </c>
      <c r="M139" s="55" t="s">
        <v>134</v>
      </c>
      <c r="N139" s="13" t="s">
        <v>71</v>
      </c>
      <c r="O139" s="91" cm="1">
        <f t="array" ref="O139">IFERROR(_xlfn.IFS($T139="12C",Average!$C$3*'UG_NBT y2569-2571 (mat)'!$AD139,
$T139="24C",Average!$C$4*'UG_NBT y2569-2571 (mat)'!$AD139,
$T139="60C",Average!$C$5*'UG_NBT y2569-2571 (mat)'!$AD139,
$T139="144C",Average!$C$6*'UG_NBT y2569-2571 (mat)'!$AD139,
$T139="216C",Average!$C$7*'UG_NBT y2569-2571 (mat)'!$AD139)
+_xlfn.IFS($T139="12C",Average!$D$3*'UG_NBT y2569-2571 (mat)'!$AE139,
$T139="24C",Average!$D$4*'UG_NBT y2569-2571 (mat)'!$AE139,
$T139="60C",Average!$D$5*'UG_NBT y2569-2571 (mat)'!$AE139,
$T139="144C",Average!$D$6*'UG_NBT y2569-2571 (mat)'!$AE139,
$T139="216C",Average!$D$7*'UG_NBT y2569-2571 (mat)'!$AE139),0)</f>
        <v>153207</v>
      </c>
      <c r="P139" s="91">
        <f t="shared" si="16"/>
        <v>115800</v>
      </c>
      <c r="Q139" s="54" t="s">
        <v>787</v>
      </c>
      <c r="R139" s="30" t="s">
        <v>626</v>
      </c>
      <c r="S139" s="30" t="s">
        <v>627</v>
      </c>
      <c r="T139" s="54" t="s">
        <v>53</v>
      </c>
      <c r="U139" s="54"/>
      <c r="V139" s="54"/>
      <c r="W139" s="54">
        <f>AF139</f>
        <v>1.5</v>
      </c>
      <c r="X139" s="54"/>
      <c r="Y139" s="54"/>
      <c r="Z139" s="72" cm="1">
        <f t="array" ref="Z139">_xlfn.LET(
_xlpm.a,IF(ISNUMBER($U139),$U139,IFERROR(_xlfn.NUMBERVALUE(TRIM($U139)),0)),
_xlpm.b,IF(ISNUMBER($V139),$V139,IFERROR(_xlfn.NUMBERVALUE(TRIM($V139)),0)),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39" s="72" cm="1">
        <f t="array" ref="AA139">_xlfn.IFS($W139=0,0,AND($W139&gt;0,$W139&lt;=0.5),2,AND($W139&gt;0.5,$W139&lt;=1),3,AND($W139&gt;1,$W139&lt;=1.5),4,AND($W139&gt;1.5,$W139&lt;=2),5,AND($W139&gt;2,$W139&lt;=3),6,AND($W139&gt;3,$W139&lt;=4),7,$W139&gt;4,8)</f>
        <v>4</v>
      </c>
      <c r="AB139" s="72" cm="1">
        <f t="array" ref="AB139">_xlfn.IFS($X139=0,0,AND($X139&gt;0,$X139&lt;=0.5),2,AND($X139&gt;0.5,$X139&lt;=1),3,AND($X139&gt;1,$X139&lt;=1.5),4,AND($X139&gt;1.5,$X139&lt;=2),5,AND($X139&gt;2,$X139&lt;=3),6,AND($X139&gt;3,$X139&lt;=4),7,$X139&gt;4,8)</f>
        <v>0</v>
      </c>
      <c r="AC139" s="72" cm="1">
        <f t="array" ref="AC139">_xlfn.IFS($Y139=0,0,AND($Y139&gt;0,$Y139&lt;=0.5),2,AND($Y139&gt;0.5,$Y139&lt;=1),3,AND($Y139&gt;1,$Y139&lt;=1.5),4,AND($Y139&gt;1.5,$Y139&lt;=2),5,AND($Y139&gt;2,$Y139&lt;=3),6,AND($Y139&gt;3,$Y139&lt;=4),7,$Y139&gt;4,8)</f>
        <v>0</v>
      </c>
      <c r="AD139" s="54">
        <v>1</v>
      </c>
      <c r="AE139" s="54">
        <v>0.5</v>
      </c>
      <c r="AF139" s="54">
        <f t="shared" si="15"/>
        <v>1.5</v>
      </c>
      <c r="AG139" s="55">
        <v>2569</v>
      </c>
      <c r="AH139" s="54" t="s">
        <v>41</v>
      </c>
    </row>
    <row r="140" spans="1:35" ht="25.5" x14ac:dyDescent="0.2">
      <c r="A140" s="52">
        <v>137</v>
      </c>
      <c r="B140" s="52" t="s">
        <v>415</v>
      </c>
      <c r="C140" s="52" t="s">
        <v>628</v>
      </c>
      <c r="D140" s="52" t="s">
        <v>28</v>
      </c>
      <c r="E140" s="52" t="s">
        <v>629</v>
      </c>
      <c r="F140" s="53" t="s">
        <v>630</v>
      </c>
      <c r="G140" s="54">
        <v>2</v>
      </c>
      <c r="H140" s="55" t="s">
        <v>613</v>
      </c>
      <c r="I140" s="55">
        <v>2569</v>
      </c>
      <c r="J140" s="56"/>
      <c r="K140" s="56" t="s">
        <v>631</v>
      </c>
      <c r="L140" s="55" t="s">
        <v>34</v>
      </c>
      <c r="M140" s="55" t="s">
        <v>84</v>
      </c>
      <c r="N140" s="13" t="s">
        <v>71</v>
      </c>
      <c r="O140" s="91" cm="1">
        <f t="array" ref="O140">IFERROR(_xlfn.IFS($T140="12C",Average!$C$3*'UG_NBT y2569-2571 (mat)'!$AD140,
$T140="24C",Average!$C$4*'UG_NBT y2569-2571 (mat)'!$AD140,
$T140="60C",Average!$C$5*'UG_NBT y2569-2571 (mat)'!$AD140,
$T140="144C",Average!$C$6*'UG_NBT y2569-2571 (mat)'!$AD140,
$T140="216C",Average!$C$7*'UG_NBT y2569-2571 (mat)'!$AD140)
+_xlfn.IFS($T140="12C",Average!$D$3*'UG_NBT y2569-2571 (mat)'!$AE140,
$T140="24C",Average!$D$4*'UG_NBT y2569-2571 (mat)'!$AE140,
$T140="60C",Average!$D$5*'UG_NBT y2569-2571 (mat)'!$AE140,
$T140="144C",Average!$D$6*'UG_NBT y2569-2571 (mat)'!$AE140,
$T140="216C",Average!$D$7*'UG_NBT y2569-2571 (mat)'!$AE140),0)</f>
        <v>68660</v>
      </c>
      <c r="P140" s="91">
        <f t="shared" si="16"/>
        <v>0</v>
      </c>
      <c r="Q140" s="54" t="s">
        <v>37</v>
      </c>
      <c r="R140" s="30" t="s">
        <v>632</v>
      </c>
      <c r="S140" s="30" t="s">
        <v>633</v>
      </c>
      <c r="T140" s="54" t="s">
        <v>87</v>
      </c>
      <c r="U140" s="54">
        <f>AF140</f>
        <v>2</v>
      </c>
      <c r="V140" s="54"/>
      <c r="W140" s="54"/>
      <c r="X140" s="54"/>
      <c r="Y140" s="54"/>
      <c r="Z140" s="72" cm="1">
        <f t="array" ref="Z140">_xlfn.LET(
_xlpm.a,IF(ISNUMBER($U140),$U140,IFERROR(_xlfn.NUMBERVALUE(TRIM($U140)),0)),
_xlpm.b,IF(ISNUMBER($V140),$V140,IFERROR(_xlfn.NUMBERVALUE(TRIM($V140)),0)),
_xlpm.score,_xlfn.LAMBDA(_xlpm.x,_xlfn.IFS(_xlpm.x&lt;0,0,_xlpm.x=0,0,_xlpm.x&lt;=0.5,2,_xlpm.x&lt;=1,3,_xlpm.x&lt;=1.5,4,
_xlpm.x&lt;=2,5,_xlpm.x&lt;=3,6,_xlpm.x&lt;=4,7,_xlpm.x&lt;=5,8,_xlpm.x&gt;5,9)),
_xlpm.score(_xlpm.a)+_xlpm.score(_xlpm.b))</f>
        <v>5</v>
      </c>
      <c r="AA140" s="72" cm="1">
        <f t="array" ref="AA140">_xlfn.IFS($W140=0,0,AND($W140&gt;0,$W140&lt;=0.5),2,AND($W140&gt;0.5,$W140&lt;=1),3,AND($W140&gt;1,$W140&lt;=1.5),4,AND($W140&gt;1.5,$W140&lt;=2),5,AND($W140&gt;2,$W140&lt;=3),6,AND($W140&gt;3,$W140&lt;=4),7,$W140&gt;4,8)</f>
        <v>0</v>
      </c>
      <c r="AB140" s="72" cm="1">
        <f t="array" ref="AB140">_xlfn.IFS($X140=0,0,AND($X140&gt;0,$X140&lt;=0.5),2,AND($X140&gt;0.5,$X140&lt;=1),3,AND($X140&gt;1,$X140&lt;=1.5),4,AND($X140&gt;1.5,$X140&lt;=2),5,AND($X140&gt;2,$X140&lt;=3),6,AND($X140&gt;3,$X140&lt;=4),7,$X140&gt;4,8)</f>
        <v>0</v>
      </c>
      <c r="AC140" s="72" cm="1">
        <f t="array" ref="AC140">_xlfn.IFS($Y140=0,0,AND($Y140&gt;0,$Y140&lt;=0.5),2,AND($Y140&gt;0.5,$Y140&lt;=1),3,AND($Y140&gt;1,$Y140&lt;=1.5),4,AND($Y140&gt;1.5,$Y140&lt;=2),5,AND($Y140&gt;2,$Y140&lt;=3),6,AND($Y140&gt;3,$Y140&lt;=4),7,$Y140&gt;4,8)</f>
        <v>0</v>
      </c>
      <c r="AD140" s="54">
        <v>0</v>
      </c>
      <c r="AE140" s="54">
        <v>2</v>
      </c>
      <c r="AF140" s="54">
        <f t="shared" si="15"/>
        <v>2</v>
      </c>
      <c r="AG140" s="55">
        <v>2568</v>
      </c>
      <c r="AH140" s="54" t="s">
        <v>41</v>
      </c>
    </row>
    <row r="141" spans="1:35" ht="25.5" x14ac:dyDescent="0.2">
      <c r="A141" s="52">
        <v>138</v>
      </c>
      <c r="B141" s="52" t="s">
        <v>415</v>
      </c>
      <c r="C141" s="52" t="s">
        <v>634</v>
      </c>
      <c r="D141" s="52" t="s">
        <v>48</v>
      </c>
      <c r="E141" s="93" t="s">
        <v>811</v>
      </c>
      <c r="F141" s="53" t="s">
        <v>635</v>
      </c>
      <c r="G141" s="54">
        <v>14</v>
      </c>
      <c r="H141" s="55" t="s">
        <v>613</v>
      </c>
      <c r="I141" s="55">
        <v>2569</v>
      </c>
      <c r="J141" s="56"/>
      <c r="K141" s="56" t="s">
        <v>631</v>
      </c>
      <c r="L141" s="70" t="s">
        <v>133</v>
      </c>
      <c r="M141" s="55" t="s">
        <v>134</v>
      </c>
      <c r="N141" s="13" t="s">
        <v>71</v>
      </c>
      <c r="O141" s="91" cm="1">
        <f t="array" ref="O141">IFERROR(_xlfn.IFS($T141="12C",Average!$C$3*'UG_NBT y2569-2571 (mat)'!$AD141,
$T141="24C",Average!$C$4*'UG_NBT y2569-2571 (mat)'!$AD141,
$T141="60C",Average!$C$5*'UG_NBT y2569-2571 (mat)'!$AD141,
$T141="144C",Average!$C$6*'UG_NBT y2569-2571 (mat)'!$AD141,
$T141="216C",Average!$C$7*'UG_NBT y2569-2571 (mat)'!$AD141)
+_xlfn.IFS($T141="12C",Average!$D$3*'UG_NBT y2569-2571 (mat)'!$AE141,
$T141="24C",Average!$D$4*'UG_NBT y2569-2571 (mat)'!$AE141,
$T141="60C",Average!$D$5*'UG_NBT y2569-2571 (mat)'!$AE141,
$T141="144C",Average!$D$6*'UG_NBT y2569-2571 (mat)'!$AE141,
$T141="216C",Average!$D$7*'UG_NBT y2569-2571 (mat)'!$AE141),0)</f>
        <v>195030</v>
      </c>
      <c r="P141" s="91">
        <f t="shared" si="16"/>
        <v>231600</v>
      </c>
      <c r="Q141" s="54" t="s">
        <v>787</v>
      </c>
      <c r="R141" s="30" t="s">
        <v>636</v>
      </c>
      <c r="S141" s="30" t="s">
        <v>637</v>
      </c>
      <c r="T141" s="54" t="s">
        <v>453</v>
      </c>
      <c r="U141" s="54"/>
      <c r="V141" s="54">
        <f>AF141</f>
        <v>3</v>
      </c>
      <c r="W141" s="54"/>
      <c r="X141" s="54"/>
      <c r="Y141" s="54"/>
      <c r="Z141" s="72" cm="1">
        <f t="array" ref="Z141">_xlfn.LET(
_xlpm.a,IF(ISNUMBER($U141),$U141,IFERROR(_xlfn.NUMBERVALUE(TRIM($U141)),0)),
_xlpm.b,IF(ISNUMBER($V141),$V141,IFERROR(_xlfn.NUMBERVALUE(TRIM($V141)),0)),
_xlpm.score,_xlfn.LAMBDA(_xlpm.x,_xlfn.IFS(_xlpm.x&lt;0,0,_xlpm.x=0,0,_xlpm.x&lt;=0.5,2,_xlpm.x&lt;=1,3,_xlpm.x&lt;=1.5,4,
_xlpm.x&lt;=2,5,_xlpm.x&lt;=3,6,_xlpm.x&lt;=4,7,_xlpm.x&lt;=5,8,_xlpm.x&gt;5,9)),
_xlpm.score(_xlpm.a)+_xlpm.score(_xlpm.b))</f>
        <v>6</v>
      </c>
      <c r="AA141" s="72" cm="1">
        <f t="array" ref="AA141">_xlfn.IFS($W141=0,0,AND($W141&gt;0,$W141&lt;=0.5),2,AND($W141&gt;0.5,$W141&lt;=1),3,AND($W141&gt;1,$W141&lt;=1.5),4,AND($W141&gt;1.5,$W141&lt;=2),5,AND($W141&gt;2,$W141&lt;=3),6,AND($W141&gt;3,$W141&lt;=4),7,$W141&gt;4,8)</f>
        <v>0</v>
      </c>
      <c r="AB141" s="72" cm="1">
        <f t="array" ref="AB141">_xlfn.IFS($X141=0,0,AND($X141&gt;0,$X141&lt;=0.5),2,AND($X141&gt;0.5,$X141&lt;=1),3,AND($X141&gt;1,$X141&lt;=1.5),4,AND($X141&gt;1.5,$X141&lt;=2),5,AND($X141&gt;2,$X141&lt;=3),6,AND($X141&gt;3,$X141&lt;=4),7,$X141&gt;4,8)</f>
        <v>0</v>
      </c>
      <c r="AC141" s="72" cm="1">
        <f t="array" ref="AC141">_xlfn.IFS($Y141=0,0,AND($Y141&gt;0,$Y141&lt;=0.5),2,AND($Y141&gt;0.5,$Y141&lt;=1),3,AND($Y141&gt;1,$Y141&lt;=1.5),4,AND($Y141&gt;1.5,$Y141&lt;=2),5,AND($Y141&gt;2,$Y141&lt;=3),6,AND($Y141&gt;3,$Y141&lt;=4),7,$Y141&gt;4,8)</f>
        <v>0</v>
      </c>
      <c r="AD141" s="54">
        <v>2</v>
      </c>
      <c r="AE141" s="54">
        <v>1</v>
      </c>
      <c r="AF141" s="54">
        <f t="shared" si="15"/>
        <v>3</v>
      </c>
      <c r="AG141" s="55">
        <v>2569</v>
      </c>
      <c r="AH141" s="54" t="s">
        <v>47</v>
      </c>
    </row>
    <row r="142" spans="1:35" ht="25.5" x14ac:dyDescent="0.2">
      <c r="A142" s="52">
        <v>139</v>
      </c>
      <c r="B142" s="52" t="s">
        <v>415</v>
      </c>
      <c r="C142" s="52" t="s">
        <v>617</v>
      </c>
      <c r="D142" s="52" t="s">
        <v>28</v>
      </c>
      <c r="E142" s="92" t="s">
        <v>599</v>
      </c>
      <c r="F142" s="53" t="s">
        <v>638</v>
      </c>
      <c r="G142" s="54">
        <v>2</v>
      </c>
      <c r="H142" s="55" t="s">
        <v>56</v>
      </c>
      <c r="I142" s="55">
        <v>2569</v>
      </c>
      <c r="J142" s="56"/>
      <c r="K142" s="56" t="s">
        <v>631</v>
      </c>
      <c r="L142" s="55" t="s">
        <v>133</v>
      </c>
      <c r="M142" s="55" t="s">
        <v>134</v>
      </c>
      <c r="N142" s="13" t="s">
        <v>36</v>
      </c>
      <c r="O142" s="91" cm="1">
        <f t="array" ref="O142">IFERROR(_xlfn.IFS($T142="12C",Average!$C$3*'UG_NBT y2569-2571 (mat)'!$AD142,
$T142="24C",Average!$C$4*'UG_NBT y2569-2571 (mat)'!$AD142,
$T142="60C",Average!$C$5*'UG_NBT y2569-2571 (mat)'!$AD142,
$T142="144C",Average!$C$6*'UG_NBT y2569-2571 (mat)'!$AD142,
$T142="216C",Average!$C$7*'UG_NBT y2569-2571 (mat)'!$AD142)
+_xlfn.IFS($T142="12C",Average!$D$3*'UG_NBT y2569-2571 (mat)'!$AE142,
$T142="24C",Average!$D$4*'UG_NBT y2569-2571 (mat)'!$AE142,
$T142="60C",Average!$D$5*'UG_NBT y2569-2571 (mat)'!$AE142,
$T142="144C",Average!$D$6*'UG_NBT y2569-2571 (mat)'!$AE142,
$T142="216C",Average!$D$7*'UG_NBT y2569-2571 (mat)'!$AE142),0)</f>
        <v>90700</v>
      </c>
      <c r="P142" s="91">
        <f t="shared" si="16"/>
        <v>57900</v>
      </c>
      <c r="Q142" s="54" t="s">
        <v>787</v>
      </c>
      <c r="R142" s="30" t="s">
        <v>779</v>
      </c>
      <c r="S142" s="30" t="s">
        <v>778</v>
      </c>
      <c r="T142" s="54" t="s">
        <v>453</v>
      </c>
      <c r="U142" s="54"/>
      <c r="V142" s="54">
        <f>AF142</f>
        <v>1.7</v>
      </c>
      <c r="W142" s="54"/>
      <c r="X142" s="54"/>
      <c r="Y142" s="54"/>
      <c r="Z142" s="72" cm="1">
        <f t="array" ref="Z142">_xlfn.LET(
_xlpm.a,IF(ISNUMBER($U142),$U142,IFERROR(_xlfn.NUMBERVALUE(TRIM($U142)),0)),
_xlpm.b,IF(ISNUMBER($V142),$V142,IFERROR(_xlfn.NUMBERVALUE(TRIM($V142)),0)),
_xlpm.score,_xlfn.LAMBDA(_xlpm.x,_xlfn.IFS(_xlpm.x&lt;0,0,_xlpm.x=0,0,_xlpm.x&lt;=0.5,2,_xlpm.x&lt;=1,3,_xlpm.x&lt;=1.5,4,
_xlpm.x&lt;=2,5,_xlpm.x&lt;=3,6,_xlpm.x&lt;=4,7,_xlpm.x&lt;=5,8,_xlpm.x&gt;5,9)),
_xlpm.score(_xlpm.a)+_xlpm.score(_xlpm.b))</f>
        <v>5</v>
      </c>
      <c r="AA142" s="72" cm="1">
        <f t="array" ref="AA142">_xlfn.IFS($W142=0,0,AND($W142&gt;0,$W142&lt;=0.5),2,AND($W142&gt;0.5,$W142&lt;=1),3,AND($W142&gt;1,$W142&lt;=1.5),4,AND($W142&gt;1.5,$W142&lt;=2),5,AND($W142&gt;2,$W142&lt;=3),6,AND($W142&gt;3,$W142&lt;=4),7,$W142&gt;4,8)</f>
        <v>0</v>
      </c>
      <c r="AB142" s="72" cm="1">
        <f t="array" ref="AB142">_xlfn.IFS($X142=0,0,AND($X142&gt;0,$X142&lt;=0.5),2,AND($X142&gt;0.5,$X142&lt;=1),3,AND($X142&gt;1,$X142&lt;=1.5),4,AND($X142&gt;1.5,$X142&lt;=2),5,AND($X142&gt;2,$X142&lt;=3),6,AND($X142&gt;3,$X142&lt;=4),7,$X142&gt;4,8)</f>
        <v>0</v>
      </c>
      <c r="AC142" s="72" cm="1">
        <f t="array" ref="AC142">_xlfn.IFS($Y142=0,0,AND($Y142&gt;0,$Y142&lt;=0.5),2,AND($Y142&gt;0.5,$Y142&lt;=1),3,AND($Y142&gt;1,$Y142&lt;=1.5),4,AND($Y142&gt;1.5,$Y142&lt;=2),5,AND($Y142&gt;2,$Y142&lt;=3),6,AND($Y142&gt;3,$Y142&lt;=4),7,$Y142&gt;4,8)</f>
        <v>0</v>
      </c>
      <c r="AD142" s="54">
        <v>0.5</v>
      </c>
      <c r="AE142" s="54">
        <v>1.2</v>
      </c>
      <c r="AF142" s="54">
        <f t="shared" si="15"/>
        <v>1.7</v>
      </c>
      <c r="AG142" s="55">
        <v>2569</v>
      </c>
      <c r="AH142" s="54" t="s">
        <v>47</v>
      </c>
    </row>
    <row r="143" spans="1:35" x14ac:dyDescent="0.2">
      <c r="A143" s="52">
        <v>140</v>
      </c>
      <c r="B143" s="52" t="s">
        <v>415</v>
      </c>
      <c r="C143" s="52" t="s">
        <v>474</v>
      </c>
      <c r="D143" s="52" t="s">
        <v>28</v>
      </c>
      <c r="E143" s="52" t="s">
        <v>639</v>
      </c>
      <c r="F143" s="53" t="s">
        <v>640</v>
      </c>
      <c r="G143" s="54">
        <v>2.2000000000000002</v>
      </c>
      <c r="H143" s="55" t="s">
        <v>477</v>
      </c>
      <c r="I143" s="55">
        <v>2569</v>
      </c>
      <c r="J143" s="56"/>
      <c r="K143" s="56" t="s">
        <v>631</v>
      </c>
      <c r="L143" s="55" t="s">
        <v>90</v>
      </c>
      <c r="M143" s="55" t="s">
        <v>134</v>
      </c>
      <c r="N143" s="13" t="s">
        <v>71</v>
      </c>
      <c r="O143" s="91" cm="1">
        <f t="array" ref="O143">IFERROR(_xlfn.IFS($T143="12C",Average!$C$3*'UG_NBT y2569-2571 (mat)'!$AD143,
$T143="24C",Average!$C$4*'UG_NBT y2569-2571 (mat)'!$AD143,
$T143="60C",Average!$C$5*'UG_NBT y2569-2571 (mat)'!$AD143,
$T143="144C",Average!$C$6*'UG_NBT y2569-2571 (mat)'!$AD143,
$T143="216C",Average!$C$7*'UG_NBT y2569-2571 (mat)'!$AD143)
+_xlfn.IFS($T143="12C",Average!$D$3*'UG_NBT y2569-2571 (mat)'!$AE143,
$T143="24C",Average!$D$4*'UG_NBT y2569-2571 (mat)'!$AE143,
$T143="60C",Average!$D$5*'UG_NBT y2569-2571 (mat)'!$AE143,
$T143="144C",Average!$D$6*'UG_NBT y2569-2571 (mat)'!$AE143,
$T143="216C",Average!$D$7*'UG_NBT y2569-2571 (mat)'!$AE143),0)</f>
        <v>258470</v>
      </c>
      <c r="P143" s="91">
        <f t="shared" si="16"/>
        <v>57900</v>
      </c>
      <c r="Q143" s="54" t="s">
        <v>787</v>
      </c>
      <c r="R143" s="30" t="s">
        <v>478</v>
      </c>
      <c r="S143" s="30" t="s">
        <v>479</v>
      </c>
      <c r="T143" s="54" t="s">
        <v>453</v>
      </c>
      <c r="U143" s="54"/>
      <c r="V143" s="54">
        <f t="shared" ref="V143:V144" si="17">AF143</f>
        <v>5.5</v>
      </c>
      <c r="W143" s="54"/>
      <c r="X143" s="54"/>
      <c r="Y143" s="54"/>
      <c r="Z143" s="72" cm="1">
        <f t="array" ref="Z143">_xlfn.LET(
_xlpm.a,IF(ISNUMBER($U143),$U143,IFERROR(_xlfn.NUMBERVALUE(TRIM($U143)),0)),
_xlpm.b,IF(ISNUMBER($V143),$V143,IFERROR(_xlfn.NUMBERVALUE(TRIM($V143)),0)),
_xlpm.score,_xlfn.LAMBDA(_xlpm.x,_xlfn.IFS(_xlpm.x&lt;0,0,_xlpm.x=0,0,_xlpm.x&lt;=0.5,2,_xlpm.x&lt;=1,3,_xlpm.x&lt;=1.5,4,
_xlpm.x&lt;=2,5,_xlpm.x&lt;=3,6,_xlpm.x&lt;=4,7,_xlpm.x&lt;=5,8,_xlpm.x&gt;5,9)),
_xlpm.score(_xlpm.a)+_xlpm.score(_xlpm.b))</f>
        <v>9</v>
      </c>
      <c r="AA143" s="72" cm="1">
        <f t="array" ref="AA143">_xlfn.IFS($W143=0,0,AND($W143&gt;0,$W143&lt;=0.5),2,AND($W143&gt;0.5,$W143&lt;=1),3,AND($W143&gt;1,$W143&lt;=1.5),4,AND($W143&gt;1.5,$W143&lt;=2),5,AND($W143&gt;2,$W143&lt;=3),6,AND($W143&gt;3,$W143&lt;=4),7,$W143&gt;4,8)</f>
        <v>0</v>
      </c>
      <c r="AB143" s="72" cm="1">
        <f t="array" ref="AB143">_xlfn.IFS($X143=0,0,AND($X143&gt;0,$X143&lt;=0.5),2,AND($X143&gt;0.5,$X143&lt;=1),3,AND($X143&gt;1,$X143&lt;=1.5),4,AND($X143&gt;1.5,$X143&lt;=2),5,AND($X143&gt;2,$X143&lt;=3),6,AND($X143&gt;3,$X143&lt;=4),7,$X143&gt;4,8)</f>
        <v>0</v>
      </c>
      <c r="AC143" s="72" cm="1">
        <f t="array" ref="AC143">_xlfn.IFS($Y143=0,0,AND($Y143&gt;0,$Y143&lt;=0.5),2,AND($Y143&gt;0.5,$Y143&lt;=1),3,AND($Y143&gt;1,$Y143&lt;=1.5),4,AND($Y143&gt;1.5,$Y143&lt;=2),5,AND($Y143&gt;2,$Y143&lt;=3),6,AND($Y143&gt;3,$Y143&lt;=4),7,$Y143&gt;4,8)</f>
        <v>0</v>
      </c>
      <c r="AD143" s="54">
        <v>0.5</v>
      </c>
      <c r="AE143" s="54">
        <v>5</v>
      </c>
      <c r="AF143" s="54">
        <f t="shared" si="15"/>
        <v>5.5</v>
      </c>
      <c r="AG143" s="55">
        <v>2569</v>
      </c>
      <c r="AH143" s="54" t="s">
        <v>47</v>
      </c>
    </row>
    <row r="144" spans="1:35" x14ac:dyDescent="0.2">
      <c r="A144" s="52">
        <v>141</v>
      </c>
      <c r="B144" s="52" t="s">
        <v>415</v>
      </c>
      <c r="C144" s="52" t="s">
        <v>474</v>
      </c>
      <c r="D144" s="52" t="s">
        <v>28</v>
      </c>
      <c r="E144" s="52" t="s">
        <v>641</v>
      </c>
      <c r="F144" s="53" t="s">
        <v>642</v>
      </c>
      <c r="G144" s="54">
        <v>4.5999999999999996</v>
      </c>
      <c r="H144" s="55" t="s">
        <v>477</v>
      </c>
      <c r="I144" s="55">
        <v>2569</v>
      </c>
      <c r="J144" s="56"/>
      <c r="K144" s="56" t="s">
        <v>631</v>
      </c>
      <c r="L144" s="55" t="s">
        <v>90</v>
      </c>
      <c r="M144" s="55" t="s">
        <v>134</v>
      </c>
      <c r="N144" s="13" t="s">
        <v>71</v>
      </c>
      <c r="O144" s="91" cm="1">
        <f t="array" ref="O144">IFERROR(_xlfn.IFS($T144="12C",Average!$C$3*'UG_NBT y2569-2571 (mat)'!$AD144,
$T144="24C",Average!$C$4*'UG_NBT y2569-2571 (mat)'!$AD144,
$T144="60C",Average!$C$5*'UG_NBT y2569-2571 (mat)'!$AD144,
$T144="144C",Average!$C$6*'UG_NBT y2569-2571 (mat)'!$AD144,
$T144="216C",Average!$C$7*'UG_NBT y2569-2571 (mat)'!$AD144)
+_xlfn.IFS($T144="12C",Average!$D$3*'UG_NBT y2569-2571 (mat)'!$AE144,
$T144="24C",Average!$D$4*'UG_NBT y2569-2571 (mat)'!$AE144,
$T144="60C",Average!$D$5*'UG_NBT y2569-2571 (mat)'!$AE144,
$T144="144C",Average!$D$6*'UG_NBT y2569-2571 (mat)'!$AE144,
$T144="216C",Average!$D$7*'UG_NBT y2569-2571 (mat)'!$AE144),0)</f>
        <v>258470</v>
      </c>
      <c r="P144" s="91">
        <f t="shared" si="16"/>
        <v>57900</v>
      </c>
      <c r="Q144" s="54" t="s">
        <v>787</v>
      </c>
      <c r="R144" s="30" t="s">
        <v>643</v>
      </c>
      <c r="S144" s="30" t="s">
        <v>644</v>
      </c>
      <c r="T144" s="54" t="s">
        <v>453</v>
      </c>
      <c r="U144" s="54"/>
      <c r="V144" s="54">
        <f t="shared" si="17"/>
        <v>5.5</v>
      </c>
      <c r="W144" s="54"/>
      <c r="X144" s="54"/>
      <c r="Y144" s="54"/>
      <c r="Z144" s="72" cm="1">
        <f t="array" ref="Z144">_xlfn.LET(
_xlpm.a,IF(ISNUMBER($U144),$U144,IFERROR(_xlfn.NUMBERVALUE(TRIM($U144)),0)),
_xlpm.b,IF(ISNUMBER($V144),$V144,IFERROR(_xlfn.NUMBERVALUE(TRIM($V144)),0)),
_xlpm.score,_xlfn.LAMBDA(_xlpm.x,_xlfn.IFS(_xlpm.x&lt;0,0,_xlpm.x=0,0,_xlpm.x&lt;=0.5,2,_xlpm.x&lt;=1,3,_xlpm.x&lt;=1.5,4,
_xlpm.x&lt;=2,5,_xlpm.x&lt;=3,6,_xlpm.x&lt;=4,7,_xlpm.x&lt;=5,8,_xlpm.x&gt;5,9)),
_xlpm.score(_xlpm.a)+_xlpm.score(_xlpm.b))</f>
        <v>9</v>
      </c>
      <c r="AA144" s="72" cm="1">
        <f t="array" ref="AA144">_xlfn.IFS($W144=0,0,AND($W144&gt;0,$W144&lt;=0.5),2,AND($W144&gt;0.5,$W144&lt;=1),3,AND($W144&gt;1,$W144&lt;=1.5),4,AND($W144&gt;1.5,$W144&lt;=2),5,AND($W144&gt;2,$W144&lt;=3),6,AND($W144&gt;3,$W144&lt;=4),7,$W144&gt;4,8)</f>
        <v>0</v>
      </c>
      <c r="AB144" s="72" cm="1">
        <f t="array" ref="AB144">_xlfn.IFS($X144=0,0,AND($X144&gt;0,$X144&lt;=0.5),2,AND($X144&gt;0.5,$X144&lt;=1),3,AND($X144&gt;1,$X144&lt;=1.5),4,AND($X144&gt;1.5,$X144&lt;=2),5,AND($X144&gt;2,$X144&lt;=3),6,AND($X144&gt;3,$X144&lt;=4),7,$X144&gt;4,8)</f>
        <v>0</v>
      </c>
      <c r="AC144" s="72" cm="1">
        <f t="array" ref="AC144">_xlfn.IFS($Y144=0,0,AND($Y144&gt;0,$Y144&lt;=0.5),2,AND($Y144&gt;0.5,$Y144&lt;=1),3,AND($Y144&gt;1,$Y144&lt;=1.5),4,AND($Y144&gt;1.5,$Y144&lt;=2),5,AND($Y144&gt;2,$Y144&lt;=3),6,AND($Y144&gt;3,$Y144&lt;=4),7,$Y144&gt;4,8)</f>
        <v>0</v>
      </c>
      <c r="AD144" s="54">
        <v>0.5</v>
      </c>
      <c r="AE144" s="54">
        <v>5</v>
      </c>
      <c r="AF144" s="54">
        <f t="shared" si="15"/>
        <v>5.5</v>
      </c>
      <c r="AG144" s="55">
        <v>2569</v>
      </c>
      <c r="AH144" s="54" t="s">
        <v>47</v>
      </c>
    </row>
    <row r="145" spans="1:34" x14ac:dyDescent="0.2">
      <c r="A145" s="52">
        <v>142</v>
      </c>
      <c r="B145" s="52" t="s">
        <v>415</v>
      </c>
      <c r="C145" s="64" t="s">
        <v>645</v>
      </c>
      <c r="D145" s="52" t="s">
        <v>28</v>
      </c>
      <c r="E145" s="52" t="s">
        <v>646</v>
      </c>
      <c r="F145" s="53" t="s">
        <v>647</v>
      </c>
      <c r="G145" s="54">
        <v>2.8</v>
      </c>
      <c r="H145" s="55" t="s">
        <v>468</v>
      </c>
      <c r="I145" s="55">
        <v>2569</v>
      </c>
      <c r="J145" s="56"/>
      <c r="K145" s="56" t="s">
        <v>631</v>
      </c>
      <c r="L145" s="55" t="s">
        <v>133</v>
      </c>
      <c r="M145" s="55" t="s">
        <v>134</v>
      </c>
      <c r="N145" s="13" t="s">
        <v>71</v>
      </c>
      <c r="O145" s="91" cm="1">
        <f t="array" ref="O145">IFERROR(_xlfn.IFS($T145="12C",Average!$C$3*'UG_NBT y2569-2571 (mat)'!$AD145,
$T145="24C",Average!$C$4*'UG_NBT y2569-2571 (mat)'!$AD145,
$T145="60C",Average!$C$5*'UG_NBT y2569-2571 (mat)'!$AD145,
$T145="144C",Average!$C$6*'UG_NBT y2569-2571 (mat)'!$AD145,
$T145="216C",Average!$C$7*'UG_NBT y2569-2571 (mat)'!$AD145)
+_xlfn.IFS($T145="12C",Average!$D$3*'UG_NBT y2569-2571 (mat)'!$AE145,
$T145="24C",Average!$D$4*'UG_NBT y2569-2571 (mat)'!$AE145,
$T145="60C",Average!$D$5*'UG_NBT y2569-2571 (mat)'!$AE145,
$T145="144C",Average!$D$6*'UG_NBT y2569-2571 (mat)'!$AE145,
$T145="216C",Average!$D$7*'UG_NBT y2569-2571 (mat)'!$AE145),0)</f>
        <v>240384.4</v>
      </c>
      <c r="P145" s="91">
        <f t="shared" si="16"/>
        <v>138960</v>
      </c>
      <c r="Q145" s="54" t="s">
        <v>787</v>
      </c>
      <c r="R145" s="30" t="s">
        <v>648</v>
      </c>
      <c r="S145" s="30" t="s">
        <v>649</v>
      </c>
      <c r="T145" s="54" t="s">
        <v>53</v>
      </c>
      <c r="U145" s="54"/>
      <c r="V145" s="54"/>
      <c r="W145" s="54">
        <f>AF145</f>
        <v>2.5999999999999996</v>
      </c>
      <c r="X145" s="54"/>
      <c r="Y145" s="54"/>
      <c r="Z145" s="72" cm="1">
        <f t="array" ref="Z145">_xlfn.LET(
_xlpm.a,IF(ISNUMBER($U145),$U145,IFERROR(_xlfn.NUMBERVALUE(TRIM($U145)),0)),
_xlpm.b,IF(ISNUMBER($V145),$V145,IFERROR(_xlfn.NUMBERVALUE(TRIM($V145)),0)),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45" s="72" cm="1">
        <f t="array" ref="AA145">_xlfn.IFS($W145=0,0,AND($W145&gt;0,$W145&lt;=0.5),2,AND($W145&gt;0.5,$W145&lt;=1),3,AND($W145&gt;1,$W145&lt;=1.5),4,AND($W145&gt;1.5,$W145&lt;=2),5,AND($W145&gt;2,$W145&lt;=3),6,AND($W145&gt;3,$W145&lt;=4),7,$W145&gt;4,8)</f>
        <v>6</v>
      </c>
      <c r="AB145" s="72" cm="1">
        <f t="array" ref="AB145">_xlfn.IFS($X145=0,0,AND($X145&gt;0,$X145&lt;=0.5),2,AND($X145&gt;0.5,$X145&lt;=1),3,AND($X145&gt;1,$X145&lt;=1.5),4,AND($X145&gt;1.5,$X145&lt;=2),5,AND($X145&gt;2,$X145&lt;=3),6,AND($X145&gt;3,$X145&lt;=4),7,$X145&gt;4,8)</f>
        <v>0</v>
      </c>
      <c r="AC145" s="72" cm="1">
        <f t="array" ref="AC145">_xlfn.IFS($Y145=0,0,AND($Y145&gt;0,$Y145&lt;=0.5),2,AND($Y145&gt;0.5,$Y145&lt;=1),3,AND($Y145&gt;1,$Y145&lt;=1.5),4,AND($Y145&gt;1.5,$Y145&lt;=2),5,AND($Y145&gt;2,$Y145&lt;=3),6,AND($Y145&gt;3,$Y145&lt;=4),7,$Y145&gt;4,8)</f>
        <v>0</v>
      </c>
      <c r="AD145" s="54">
        <v>1.2</v>
      </c>
      <c r="AE145" s="54">
        <v>1.4</v>
      </c>
      <c r="AF145" s="54">
        <f t="shared" si="15"/>
        <v>2.5999999999999996</v>
      </c>
      <c r="AG145" s="55">
        <v>2570</v>
      </c>
      <c r="AH145" s="54" t="s">
        <v>41</v>
      </c>
    </row>
    <row r="146" spans="1:34" ht="25.5" x14ac:dyDescent="0.2">
      <c r="A146" s="52">
        <v>143</v>
      </c>
      <c r="B146" s="52" t="s">
        <v>415</v>
      </c>
      <c r="C146" s="52" t="s">
        <v>650</v>
      </c>
      <c r="D146" s="52" t="s">
        <v>28</v>
      </c>
      <c r="E146" s="52" t="s">
        <v>651</v>
      </c>
      <c r="F146" s="53" t="s">
        <v>652</v>
      </c>
      <c r="G146" s="54">
        <v>5.4</v>
      </c>
      <c r="H146" s="55" t="s">
        <v>613</v>
      </c>
      <c r="I146" s="55">
        <v>2569</v>
      </c>
      <c r="J146" s="56"/>
      <c r="K146" s="56" t="s">
        <v>631</v>
      </c>
      <c r="L146" s="55" t="s">
        <v>34</v>
      </c>
      <c r="M146" s="55" t="s">
        <v>35</v>
      </c>
      <c r="N146" s="13" t="s">
        <v>71</v>
      </c>
      <c r="O146" s="91" cm="1">
        <f t="array" ref="O146">IFERROR(_xlfn.IFS($T146="12C",Average!$C$3*'UG_NBT y2569-2571 (mat)'!$AD146,
$T146="24C",Average!$C$4*'UG_NBT y2569-2571 (mat)'!$AD146,
$T146="60C",Average!$C$5*'UG_NBT y2569-2571 (mat)'!$AD146,
$T146="144C",Average!$C$6*'UG_NBT y2569-2571 (mat)'!$AD146,
$T146="216C",Average!$C$7*'UG_NBT y2569-2571 (mat)'!$AD146)
+_xlfn.IFS($T146="12C",Average!$D$3*'UG_NBT y2569-2571 (mat)'!$AE146,
$T146="24C",Average!$D$4*'UG_NBT y2569-2571 (mat)'!$AE146,
$T146="60C",Average!$D$5*'UG_NBT y2569-2571 (mat)'!$AE146,
$T146="144C",Average!$D$6*'UG_NBT y2569-2571 (mat)'!$AE146,
$T146="216C",Average!$D$7*'UG_NBT y2569-2571 (mat)'!$AE146),0)</f>
        <v>59238</v>
      </c>
      <c r="P146" s="91">
        <f t="shared" si="16"/>
        <v>23160</v>
      </c>
      <c r="Q146" s="54" t="s">
        <v>37</v>
      </c>
      <c r="R146" s="30" t="s">
        <v>653</v>
      </c>
      <c r="S146" s="30" t="s">
        <v>654</v>
      </c>
      <c r="T146" s="54" t="s">
        <v>453</v>
      </c>
      <c r="U146" s="54"/>
      <c r="V146" s="54">
        <f t="shared" ref="V146:V147" si="18">AF146</f>
        <v>1.2</v>
      </c>
      <c r="W146" s="54"/>
      <c r="X146" s="54"/>
      <c r="Y146" s="54"/>
      <c r="Z146" s="72" cm="1">
        <f t="array" ref="Z146">_xlfn.LET(
_xlpm.a,IF(ISNUMBER($U146),$U146,IFERROR(_xlfn.NUMBERVALUE(TRIM($U146)),0)),
_xlpm.b,IF(ISNUMBER($V146),$V146,IFERROR(_xlfn.NUMBERVALUE(TRIM($V146)),0)),
_xlpm.score,_xlfn.LAMBDA(_xlpm.x,_xlfn.IFS(_xlpm.x&lt;0,0,_xlpm.x=0,0,_xlpm.x&lt;=0.5,2,_xlpm.x&lt;=1,3,_xlpm.x&lt;=1.5,4,
_xlpm.x&lt;=2,5,_xlpm.x&lt;=3,6,_xlpm.x&lt;=4,7,_xlpm.x&lt;=5,8,_xlpm.x&gt;5,9)),
_xlpm.score(_xlpm.a)+_xlpm.score(_xlpm.b))</f>
        <v>4</v>
      </c>
      <c r="AA146" s="72" cm="1">
        <f t="array" ref="AA146">_xlfn.IFS($W146=0,0,AND($W146&gt;0,$W146&lt;=0.5),2,AND($W146&gt;0.5,$W146&lt;=1),3,AND($W146&gt;1,$W146&lt;=1.5),4,AND($W146&gt;1.5,$W146&lt;=2),5,AND($W146&gt;2,$W146&lt;=3),6,AND($W146&gt;3,$W146&lt;=4),7,$W146&gt;4,8)</f>
        <v>0</v>
      </c>
      <c r="AB146" s="72" cm="1">
        <f t="array" ref="AB146">_xlfn.IFS($X146=0,0,AND($X146&gt;0,$X146&lt;=0.5),2,AND($X146&gt;0.5,$X146&lt;=1),3,AND($X146&gt;1,$X146&lt;=1.5),4,AND($X146&gt;1.5,$X146&lt;=2),5,AND($X146&gt;2,$X146&lt;=3),6,AND($X146&gt;3,$X146&lt;=4),7,$X146&gt;4,8)</f>
        <v>0</v>
      </c>
      <c r="AC146" s="72" cm="1">
        <f t="array" ref="AC146">_xlfn.IFS($Y146=0,0,AND($Y146&gt;0,$Y146&lt;=0.5),2,AND($Y146&gt;0.5,$Y146&lt;=1),3,AND($Y146&gt;1,$Y146&lt;=1.5),4,AND($Y146&gt;1.5,$Y146&lt;=2),5,AND($Y146&gt;2,$Y146&lt;=3),6,AND($Y146&gt;3,$Y146&lt;=4),7,$Y146&gt;4,8)</f>
        <v>0</v>
      </c>
      <c r="AD146" s="54">
        <v>0.2</v>
      </c>
      <c r="AE146" s="54">
        <v>1</v>
      </c>
      <c r="AF146" s="54">
        <f t="shared" si="15"/>
        <v>1.2</v>
      </c>
      <c r="AG146" s="55">
        <v>2568</v>
      </c>
      <c r="AH146" s="54" t="s">
        <v>41</v>
      </c>
    </row>
    <row r="147" spans="1:34" ht="25.5" x14ac:dyDescent="0.2">
      <c r="A147" s="52">
        <v>144</v>
      </c>
      <c r="B147" s="52" t="s">
        <v>415</v>
      </c>
      <c r="C147" s="52" t="s">
        <v>448</v>
      </c>
      <c r="D147" s="52" t="s">
        <v>28</v>
      </c>
      <c r="E147" s="93" t="s">
        <v>809</v>
      </c>
      <c r="F147" s="53" t="s">
        <v>655</v>
      </c>
      <c r="G147" s="54">
        <v>7.6</v>
      </c>
      <c r="H147" s="55" t="s">
        <v>419</v>
      </c>
      <c r="I147" s="55">
        <v>2569</v>
      </c>
      <c r="J147" s="56"/>
      <c r="K147" s="56" t="s">
        <v>631</v>
      </c>
      <c r="L147" s="55" t="s">
        <v>34</v>
      </c>
      <c r="M147" s="55" t="s">
        <v>134</v>
      </c>
      <c r="N147" s="13" t="s">
        <v>71</v>
      </c>
      <c r="O147" s="91" cm="1">
        <f t="array" ref="O147">IFERROR(_xlfn.IFS($T147="12C",Average!$C$3*'UG_NBT y2569-2571 (mat)'!$AD147,
$T147="24C",Average!$C$4*'UG_NBT y2569-2571 (mat)'!$AD147,
$T147="60C",Average!$C$5*'UG_NBT y2569-2571 (mat)'!$AD147,
$T147="144C",Average!$C$6*'UG_NBT y2569-2571 (mat)'!$AD147,
$T147="216C",Average!$C$7*'UG_NBT y2569-2571 (mat)'!$AD147)
+_xlfn.IFS($T147="12C",Average!$D$3*'UG_NBT y2569-2571 (mat)'!$AE147,
$T147="24C",Average!$D$4*'UG_NBT y2569-2571 (mat)'!$AE147,
$T147="60C",Average!$D$5*'UG_NBT y2569-2571 (mat)'!$AE147,
$T147="144C",Average!$D$6*'UG_NBT y2569-2571 (mat)'!$AE147,
$T147="216C",Average!$D$7*'UG_NBT y2569-2571 (mat)'!$AE147),0)</f>
        <v>61638</v>
      </c>
      <c r="P147" s="91">
        <f t="shared" si="16"/>
        <v>81060</v>
      </c>
      <c r="Q147" s="54" t="s">
        <v>787</v>
      </c>
      <c r="R147" s="30" t="s">
        <v>656</v>
      </c>
      <c r="S147" s="30" t="s">
        <v>657</v>
      </c>
      <c r="T147" s="54" t="s">
        <v>453</v>
      </c>
      <c r="U147" s="54"/>
      <c r="V147" s="54">
        <f t="shared" si="18"/>
        <v>0.89999999999999991</v>
      </c>
      <c r="W147" s="54"/>
      <c r="X147" s="54"/>
      <c r="Y147" s="54"/>
      <c r="Z147" s="72" cm="1">
        <f t="array" ref="Z147">_xlfn.LET(
_xlpm.a,IF(ISNUMBER($U147),$U147,IFERROR(_xlfn.NUMBERVALUE(TRIM($U147)),0)),
_xlpm.b,IF(ISNUMBER($V147),$V147,IFERROR(_xlfn.NUMBERVALUE(TRIM($V147)),0)),
_xlpm.score,_xlfn.LAMBDA(_xlpm.x,_xlfn.IFS(_xlpm.x&lt;0,0,_xlpm.x=0,0,_xlpm.x&lt;=0.5,2,_xlpm.x&lt;=1,3,_xlpm.x&lt;=1.5,4,
_xlpm.x&lt;=2,5,_xlpm.x&lt;=3,6,_xlpm.x&lt;=4,7,_xlpm.x&lt;=5,8,_xlpm.x&gt;5,9)),
_xlpm.score(_xlpm.a)+_xlpm.score(_xlpm.b))</f>
        <v>3</v>
      </c>
      <c r="AA147" s="72" cm="1">
        <f t="array" ref="AA147">_xlfn.IFS($W147=0,0,AND($W147&gt;0,$W147&lt;=0.5),2,AND($W147&gt;0.5,$W147&lt;=1),3,AND($W147&gt;1,$W147&lt;=1.5),4,AND($W147&gt;1.5,$W147&lt;=2),5,AND($W147&gt;2,$W147&lt;=3),6,AND($W147&gt;3,$W147&lt;=4),7,$W147&gt;4,8)</f>
        <v>0</v>
      </c>
      <c r="AB147" s="72" cm="1">
        <f t="array" ref="AB147">_xlfn.IFS($X147=0,0,AND($X147&gt;0,$X147&lt;=0.5),2,AND($X147&gt;0.5,$X147&lt;=1),3,AND($X147&gt;1,$X147&lt;=1.5),4,AND($X147&gt;1.5,$X147&lt;=2),5,AND($X147&gt;2,$X147&lt;=3),6,AND($X147&gt;3,$X147&lt;=4),7,$X147&gt;4,8)</f>
        <v>0</v>
      </c>
      <c r="AC147" s="72" cm="1">
        <f t="array" ref="AC147">_xlfn.IFS($Y147=0,0,AND($Y147&gt;0,$Y147&lt;=0.5),2,AND($Y147&gt;0.5,$Y147&lt;=1),3,AND($Y147&gt;1,$Y147&lt;=1.5),4,AND($Y147&gt;1.5,$Y147&lt;=2),5,AND($Y147&gt;2,$Y147&lt;=3),6,AND($Y147&gt;3,$Y147&lt;=4),7,$Y147&gt;4,8)</f>
        <v>0</v>
      </c>
      <c r="AD147" s="54">
        <v>0.7</v>
      </c>
      <c r="AE147" s="54">
        <v>0.2</v>
      </c>
      <c r="AF147" s="54">
        <f t="shared" si="15"/>
        <v>0.89999999999999991</v>
      </c>
      <c r="AG147" s="55">
        <v>2569</v>
      </c>
      <c r="AH147" s="54" t="s">
        <v>47</v>
      </c>
    </row>
    <row r="148" spans="1:34" x14ac:dyDescent="0.2">
      <c r="A148" s="52">
        <v>145</v>
      </c>
      <c r="B148" s="52" t="s">
        <v>415</v>
      </c>
      <c r="C148" s="52" t="s">
        <v>658</v>
      </c>
      <c r="D148" s="52" t="s">
        <v>28</v>
      </c>
      <c r="E148" s="52" t="s">
        <v>659</v>
      </c>
      <c r="F148" s="53" t="s">
        <v>660</v>
      </c>
      <c r="G148" s="54">
        <v>11.36</v>
      </c>
      <c r="H148" s="55" t="s">
        <v>613</v>
      </c>
      <c r="I148" s="55">
        <v>2569</v>
      </c>
      <c r="J148" s="56"/>
      <c r="K148" s="56" t="s">
        <v>631</v>
      </c>
      <c r="L148" s="54" t="s">
        <v>69</v>
      </c>
      <c r="M148" s="55" t="s">
        <v>70</v>
      </c>
      <c r="N148" s="55" t="s">
        <v>71</v>
      </c>
      <c r="O148" s="54">
        <v>0</v>
      </c>
      <c r="P148" s="54">
        <v>0</v>
      </c>
      <c r="Q148" s="54" t="s">
        <v>69</v>
      </c>
      <c r="R148" s="30" t="s">
        <v>661</v>
      </c>
      <c r="S148" s="30" t="s">
        <v>662</v>
      </c>
      <c r="T148" s="54" t="s">
        <v>69</v>
      </c>
      <c r="U148" s="54"/>
      <c r="V148" s="54"/>
      <c r="W148" s="54"/>
      <c r="X148" s="54"/>
      <c r="Y148" s="54"/>
      <c r="Z148" s="72" cm="1">
        <f t="array" ref="Z148">_xlfn.LET(
_xlpm.a,IF(ISNUMBER($U148),$U148,IFERROR(_xlfn.NUMBERVALUE(TRIM($U148)),0)),
_xlpm.b,IF(ISNUMBER($V148),$V148,IFERROR(_xlfn.NUMBERVALUE(TRIM($V148)),0)),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48" s="72" cm="1">
        <f t="array" ref="AA148">_xlfn.IFS($W148=0,0,AND($W148&gt;0,$W148&lt;=0.5),2,AND($W148&gt;0.5,$W148&lt;=1),3,AND($W148&gt;1,$W148&lt;=1.5),4,AND($W148&gt;1.5,$W148&lt;=2),5,AND($W148&gt;2,$W148&lt;=3),6,AND($W148&gt;3,$W148&lt;=4),7,$W148&gt;4,8)</f>
        <v>0</v>
      </c>
      <c r="AB148" s="72" cm="1">
        <f t="array" ref="AB148">_xlfn.IFS($X148=0,0,AND($X148&gt;0,$X148&lt;=0.5),2,AND($X148&gt;0.5,$X148&lt;=1),3,AND($X148&gt;1,$X148&lt;=1.5),4,AND($X148&gt;1.5,$X148&lt;=2),5,AND($X148&gt;2,$X148&lt;=3),6,AND($X148&gt;3,$X148&lt;=4),7,$X148&gt;4,8)</f>
        <v>0</v>
      </c>
      <c r="AC148" s="72" cm="1">
        <f t="array" ref="AC148">_xlfn.IFS($Y148=0,0,AND($Y148&gt;0,$Y148&lt;=0.5),2,AND($Y148&gt;0.5,$Y148&lt;=1),3,AND($Y148&gt;1,$Y148&lt;=1.5),4,AND($Y148&gt;1.5,$Y148&lt;=2),5,AND($Y148&gt;2,$Y148&lt;=3),6,AND($Y148&gt;3,$Y148&lt;=4),7,$Y148&gt;4,8)</f>
        <v>0</v>
      </c>
      <c r="AD148" s="54">
        <v>0</v>
      </c>
      <c r="AE148" s="54">
        <v>0</v>
      </c>
      <c r="AF148" s="54">
        <f t="shared" si="15"/>
        <v>0</v>
      </c>
      <c r="AG148" s="55" t="s">
        <v>69</v>
      </c>
      <c r="AH148" s="54" t="s">
        <v>69</v>
      </c>
    </row>
    <row r="149" spans="1:34" ht="25.5" x14ac:dyDescent="0.2">
      <c r="A149" s="52">
        <v>146</v>
      </c>
      <c r="B149" s="52" t="s">
        <v>415</v>
      </c>
      <c r="C149" s="52" t="s">
        <v>628</v>
      </c>
      <c r="D149" s="52" t="s">
        <v>28</v>
      </c>
      <c r="E149" s="52" t="s">
        <v>663</v>
      </c>
      <c r="F149" s="53" t="s">
        <v>664</v>
      </c>
      <c r="G149" s="54">
        <v>2</v>
      </c>
      <c r="H149" s="55" t="s">
        <v>613</v>
      </c>
      <c r="I149" s="55">
        <v>2569</v>
      </c>
      <c r="J149" s="56"/>
      <c r="K149" s="56" t="s">
        <v>631</v>
      </c>
      <c r="L149" s="70" t="s">
        <v>133</v>
      </c>
      <c r="M149" s="55" t="s">
        <v>134</v>
      </c>
      <c r="N149" s="13" t="s">
        <v>71</v>
      </c>
      <c r="O149" s="91" cm="1">
        <f t="array" ref="O149">IFERROR(_xlfn.IFS($T149="12C",Average!$C$3*'UG_NBT y2569-2571 (mat)'!$AD149,
$T149="24C",Average!$C$4*'UG_NBT y2569-2571 (mat)'!$AD149,
$T149="60C",Average!$C$5*'UG_NBT y2569-2571 (mat)'!$AD149,
$T149="144C",Average!$C$6*'UG_NBT y2569-2571 (mat)'!$AD149,
$T149="216C",Average!$C$7*'UG_NBT y2569-2571 (mat)'!$AD149)
+_xlfn.IFS($T149="12C",Average!$D$3*'UG_NBT y2569-2571 (mat)'!$AE149,
$T149="24C",Average!$D$4*'UG_NBT y2569-2571 (mat)'!$AE149,
$T149="60C",Average!$D$5*'UG_NBT y2569-2571 (mat)'!$AE149,
$T149="144C",Average!$D$6*'UG_NBT y2569-2571 (mat)'!$AE149,
$T149="216C",Average!$D$7*'UG_NBT y2569-2571 (mat)'!$AE149),0)</f>
        <v>59238</v>
      </c>
      <c r="P149" s="91">
        <f t="shared" ref="P149:P171" si="19">AD149*9650*12</f>
        <v>23160</v>
      </c>
      <c r="Q149" s="54" t="s">
        <v>787</v>
      </c>
      <c r="R149" s="30" t="s">
        <v>665</v>
      </c>
      <c r="S149" s="30" t="s">
        <v>666</v>
      </c>
      <c r="T149" s="54" t="s">
        <v>453</v>
      </c>
      <c r="U149" s="54"/>
      <c r="V149" s="54">
        <f>AF149</f>
        <v>1.2</v>
      </c>
      <c r="W149" s="54"/>
      <c r="X149" s="54"/>
      <c r="Y149" s="54"/>
      <c r="Z149" s="72" cm="1">
        <f t="array" ref="Z149">_xlfn.LET(
_xlpm.a,IF(ISNUMBER($U149),$U149,IFERROR(_xlfn.NUMBERVALUE(TRIM($U149)),0)),
_xlpm.b,IF(ISNUMBER($V149),$V149,IFERROR(_xlfn.NUMBERVALUE(TRIM($V149)),0)),
_xlpm.score,_xlfn.LAMBDA(_xlpm.x,_xlfn.IFS(_xlpm.x&lt;0,0,_xlpm.x=0,0,_xlpm.x&lt;=0.5,2,_xlpm.x&lt;=1,3,_xlpm.x&lt;=1.5,4,
_xlpm.x&lt;=2,5,_xlpm.x&lt;=3,6,_xlpm.x&lt;=4,7,_xlpm.x&lt;=5,8,_xlpm.x&gt;5,9)),
_xlpm.score(_xlpm.a)+_xlpm.score(_xlpm.b))</f>
        <v>4</v>
      </c>
      <c r="AA149" s="72" cm="1">
        <f t="array" ref="AA149">_xlfn.IFS($W149=0,0,AND($W149&gt;0,$W149&lt;=0.5),2,AND($W149&gt;0.5,$W149&lt;=1),3,AND($W149&gt;1,$W149&lt;=1.5),4,AND($W149&gt;1.5,$W149&lt;=2),5,AND($W149&gt;2,$W149&lt;=3),6,AND($W149&gt;3,$W149&lt;=4),7,$W149&gt;4,8)</f>
        <v>0</v>
      </c>
      <c r="AB149" s="72" cm="1">
        <f t="array" ref="AB149">_xlfn.IFS($X149=0,0,AND($X149&gt;0,$X149&lt;=0.5),2,AND($X149&gt;0.5,$X149&lt;=1),3,AND($X149&gt;1,$X149&lt;=1.5),4,AND($X149&gt;1.5,$X149&lt;=2),5,AND($X149&gt;2,$X149&lt;=3),6,AND($X149&gt;3,$X149&lt;=4),7,$X149&gt;4,8)</f>
        <v>0</v>
      </c>
      <c r="AC149" s="72" cm="1">
        <f t="array" ref="AC149">_xlfn.IFS($Y149=0,0,AND($Y149&gt;0,$Y149&lt;=0.5),2,AND($Y149&gt;0.5,$Y149&lt;=1),3,AND($Y149&gt;1,$Y149&lt;=1.5),4,AND($Y149&gt;1.5,$Y149&lt;=2),5,AND($Y149&gt;2,$Y149&lt;=3),6,AND($Y149&gt;3,$Y149&lt;=4),7,$Y149&gt;4,8)</f>
        <v>0</v>
      </c>
      <c r="AD149" s="54">
        <v>0.2</v>
      </c>
      <c r="AE149" s="54">
        <v>1</v>
      </c>
      <c r="AF149" s="54">
        <f t="shared" si="15"/>
        <v>1.2</v>
      </c>
      <c r="AG149" s="55">
        <v>2569</v>
      </c>
      <c r="AH149" s="54" t="s">
        <v>41</v>
      </c>
    </row>
    <row r="150" spans="1:34" ht="25.5" x14ac:dyDescent="0.2">
      <c r="A150" s="52">
        <v>147</v>
      </c>
      <c r="B150" s="52" t="s">
        <v>415</v>
      </c>
      <c r="C150" s="52" t="s">
        <v>645</v>
      </c>
      <c r="D150" s="52" t="s">
        <v>28</v>
      </c>
      <c r="E150" s="52" t="s">
        <v>667</v>
      </c>
      <c r="F150" s="53" t="s">
        <v>668</v>
      </c>
      <c r="G150" s="54">
        <v>3</v>
      </c>
      <c r="H150" s="55" t="s">
        <v>468</v>
      </c>
      <c r="I150" s="55">
        <v>2569</v>
      </c>
      <c r="J150" s="56"/>
      <c r="K150" s="56" t="s">
        <v>631</v>
      </c>
      <c r="L150" s="55" t="s">
        <v>34</v>
      </c>
      <c r="M150" s="55" t="s">
        <v>134</v>
      </c>
      <c r="N150" s="13" t="s">
        <v>71</v>
      </c>
      <c r="O150" s="91" cm="1">
        <f t="array" ref="O150">IFERROR(_xlfn.IFS($T150="12C",Average!$C$3*'UG_NBT y2569-2571 (mat)'!$AD150,
$T150="24C",Average!$C$4*'UG_NBT y2569-2571 (mat)'!$AD150,
$T150="60C",Average!$C$5*'UG_NBT y2569-2571 (mat)'!$AD150,
$T150="144C",Average!$C$6*'UG_NBT y2569-2571 (mat)'!$AD150,
$T150="216C",Average!$C$7*'UG_NBT y2569-2571 (mat)'!$AD150)
+_xlfn.IFS($T150="12C",Average!$D$3*'UG_NBT y2569-2571 (mat)'!$AE150,
$T150="24C",Average!$D$4*'UG_NBT y2569-2571 (mat)'!$AE150,
$T150="60C",Average!$D$5*'UG_NBT y2569-2571 (mat)'!$AE150,
$T150="144C",Average!$D$6*'UG_NBT y2569-2571 (mat)'!$AE150,
$T150="216C",Average!$D$7*'UG_NBT y2569-2571 (mat)'!$AE150),0)</f>
        <v>358283</v>
      </c>
      <c r="P150" s="91">
        <f t="shared" si="19"/>
        <v>289500</v>
      </c>
      <c r="Q150" s="54" t="s">
        <v>37</v>
      </c>
      <c r="R150" s="30" t="s">
        <v>669</v>
      </c>
      <c r="S150" s="30" t="s">
        <v>670</v>
      </c>
      <c r="T150" s="54" t="s">
        <v>53</v>
      </c>
      <c r="U150" s="54"/>
      <c r="V150" s="54"/>
      <c r="W150" s="54">
        <f>AF150</f>
        <v>3.4</v>
      </c>
      <c r="X150" s="54"/>
      <c r="Y150" s="54"/>
      <c r="Z150" s="72" cm="1">
        <f t="array" ref="Z150">_xlfn.LET(
_xlpm.a,IF(ISNUMBER($U150),$U150,IFERROR(_xlfn.NUMBERVALUE(TRIM($U150)),0)),
_xlpm.b,IF(ISNUMBER($V150),$V150,IFERROR(_xlfn.NUMBERVALUE(TRIM($V150)),0)),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50" s="72" cm="1">
        <f t="array" ref="AA150">_xlfn.IFS($W150=0,0,AND($W150&gt;0,$W150&lt;=0.5),2,AND($W150&gt;0.5,$W150&lt;=1),3,AND($W150&gt;1,$W150&lt;=1.5),4,AND($W150&gt;1.5,$W150&lt;=2),5,AND($W150&gt;2,$W150&lt;=3),6,AND($W150&gt;3,$W150&lt;=4),7,$W150&gt;4,8)</f>
        <v>7</v>
      </c>
      <c r="AB150" s="72" cm="1">
        <f t="array" ref="AB150">_xlfn.IFS($X150=0,0,AND($X150&gt;0,$X150&lt;=0.5),2,AND($X150&gt;0.5,$X150&lt;=1),3,AND($X150&gt;1,$X150&lt;=1.5),4,AND($X150&gt;1.5,$X150&lt;=2),5,AND($X150&gt;2,$X150&lt;=3),6,AND($X150&gt;3,$X150&lt;=4),7,$X150&gt;4,8)</f>
        <v>0</v>
      </c>
      <c r="AC150" s="72" cm="1">
        <f t="array" ref="AC150">_xlfn.IFS($Y150=0,0,AND($Y150&gt;0,$Y150&lt;=0.5),2,AND($Y150&gt;0.5,$Y150&lt;=1),3,AND($Y150&gt;1,$Y150&lt;=1.5),4,AND($Y150&gt;1.5,$Y150&lt;=2),5,AND($Y150&gt;2,$Y150&lt;=3),6,AND($Y150&gt;3,$Y150&lt;=4),7,$Y150&gt;4,8)</f>
        <v>0</v>
      </c>
      <c r="AD150" s="54">
        <v>2.5</v>
      </c>
      <c r="AE150" s="54">
        <v>0.9</v>
      </c>
      <c r="AF150" s="54">
        <f t="shared" si="15"/>
        <v>3.4</v>
      </c>
      <c r="AG150" s="55">
        <v>2568</v>
      </c>
      <c r="AH150" s="54" t="s">
        <v>41</v>
      </c>
    </row>
    <row r="151" spans="1:34" ht="25.5" x14ac:dyDescent="0.2">
      <c r="A151" s="52">
        <v>148</v>
      </c>
      <c r="B151" s="52" t="s">
        <v>415</v>
      </c>
      <c r="C151" s="52" t="s">
        <v>617</v>
      </c>
      <c r="D151" s="52" t="s">
        <v>28</v>
      </c>
      <c r="E151" s="52" t="s">
        <v>671</v>
      </c>
      <c r="F151" s="53" t="s">
        <v>672</v>
      </c>
      <c r="G151" s="54">
        <v>3</v>
      </c>
      <c r="H151" s="55" t="s">
        <v>56</v>
      </c>
      <c r="I151" s="55">
        <v>2569</v>
      </c>
      <c r="J151" s="56"/>
      <c r="K151" s="56" t="s">
        <v>631</v>
      </c>
      <c r="L151" s="55" t="s">
        <v>133</v>
      </c>
      <c r="M151" s="55" t="s">
        <v>134</v>
      </c>
      <c r="N151" s="13" t="s">
        <v>71</v>
      </c>
      <c r="O151" s="91" cm="1">
        <f t="array" ref="O151">IFERROR(_xlfn.IFS($T151="12C",Average!$C$3*'UG_NBT y2569-2571 (mat)'!$AD151,
$T151="24C",Average!$C$4*'UG_NBT y2569-2571 (mat)'!$AD151,
$T151="60C",Average!$C$5*'UG_NBT y2569-2571 (mat)'!$AD151,
$T151="144C",Average!$C$6*'UG_NBT y2569-2571 (mat)'!$AD151,
$T151="216C",Average!$C$7*'UG_NBT y2569-2571 (mat)'!$AD151)
+_xlfn.IFS($T151="12C",Average!$D$3*'UG_NBT y2569-2571 (mat)'!$AE151,
$T151="24C",Average!$D$4*'UG_NBT y2569-2571 (mat)'!$AE151,
$T151="60C",Average!$D$5*'UG_NBT y2569-2571 (mat)'!$AE151,
$T151="144C",Average!$D$6*'UG_NBT y2569-2571 (mat)'!$AE151,
$T151="216C",Average!$D$7*'UG_NBT y2569-2571 (mat)'!$AE151),0)</f>
        <v>689302</v>
      </c>
      <c r="P151" s="91">
        <f t="shared" si="19"/>
        <v>370560</v>
      </c>
      <c r="Q151" s="54" t="s">
        <v>787</v>
      </c>
      <c r="R151" s="30" t="s">
        <v>781</v>
      </c>
      <c r="S151" s="30" t="s">
        <v>782</v>
      </c>
      <c r="T151" s="54" t="s">
        <v>40</v>
      </c>
      <c r="U151" s="54"/>
      <c r="V151" s="54"/>
      <c r="W151" s="54"/>
      <c r="X151" s="54">
        <f>AF151</f>
        <v>3.7</v>
      </c>
      <c r="Y151" s="54"/>
      <c r="Z151" s="72" cm="1">
        <f t="array" ref="Z151">_xlfn.LET(
_xlpm.a,IF(ISNUMBER($U151),$U151,IFERROR(_xlfn.NUMBERVALUE(TRIM($U151)),0)),
_xlpm.b,IF(ISNUMBER($V151),$V151,IFERROR(_xlfn.NUMBERVALUE(TRIM($V151)),0)),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51" s="72" cm="1">
        <f t="array" ref="AA151">_xlfn.IFS($W151=0,0,AND($W151&gt;0,$W151&lt;=0.5),2,AND($W151&gt;0.5,$W151&lt;=1),3,AND($W151&gt;1,$W151&lt;=1.5),4,AND($W151&gt;1.5,$W151&lt;=2),5,AND($W151&gt;2,$W151&lt;=3),6,AND($W151&gt;3,$W151&lt;=4),7,$W151&gt;4,8)</f>
        <v>0</v>
      </c>
      <c r="AB151" s="72" cm="1">
        <f t="array" ref="AB151">_xlfn.IFS($X151=0,0,AND($X151&gt;0,$X151&lt;=0.5),2,AND($X151&gt;0.5,$X151&lt;=1),3,AND($X151&gt;1,$X151&lt;=1.5),4,AND($X151&gt;1.5,$X151&lt;=2),5,AND($X151&gt;2,$X151&lt;=3),6,AND($X151&gt;3,$X151&lt;=4),7,$X151&gt;4,8)</f>
        <v>7</v>
      </c>
      <c r="AC151" s="72" cm="1">
        <f t="array" ref="AC151">_xlfn.IFS($Y151=0,0,AND($Y151&gt;0,$Y151&lt;=0.5),2,AND($Y151&gt;0.5,$Y151&lt;=1),3,AND($Y151&gt;1,$Y151&lt;=1.5),4,AND($Y151&gt;1.5,$Y151&lt;=2),5,AND($Y151&gt;2,$Y151&lt;=3),6,AND($Y151&gt;3,$Y151&lt;=4),7,$Y151&gt;4,8)</f>
        <v>0</v>
      </c>
      <c r="AD151" s="54">
        <v>3.2</v>
      </c>
      <c r="AE151" s="54">
        <v>0.5</v>
      </c>
      <c r="AF151" s="54">
        <f t="shared" si="15"/>
        <v>3.7</v>
      </c>
      <c r="AG151" s="55">
        <v>2570</v>
      </c>
      <c r="AH151" s="54" t="s">
        <v>59</v>
      </c>
    </row>
    <row r="152" spans="1:34" ht="25.5" x14ac:dyDescent="0.2">
      <c r="A152" s="52">
        <v>149</v>
      </c>
      <c r="B152" s="52" t="s">
        <v>415</v>
      </c>
      <c r="C152" s="52" t="s">
        <v>448</v>
      </c>
      <c r="D152" s="52" t="s">
        <v>28</v>
      </c>
      <c r="E152" s="52" t="s">
        <v>673</v>
      </c>
      <c r="F152" s="53" t="s">
        <v>674</v>
      </c>
      <c r="G152" s="54">
        <v>4</v>
      </c>
      <c r="H152" s="55" t="s">
        <v>419</v>
      </c>
      <c r="I152" s="55">
        <v>2569</v>
      </c>
      <c r="J152" s="56"/>
      <c r="K152" s="56" t="s">
        <v>631</v>
      </c>
      <c r="L152" s="55" t="s">
        <v>34</v>
      </c>
      <c r="M152" s="55" t="s">
        <v>134</v>
      </c>
      <c r="N152" s="13" t="s">
        <v>71</v>
      </c>
      <c r="O152" s="91" cm="1">
        <f t="array" ref="O152">IFERROR(_xlfn.IFS($T152="12C",Average!$C$3*'UG_NBT y2569-2571 (mat)'!$AD152,
$T152="24C",Average!$C$4*'UG_NBT y2569-2571 (mat)'!$AD152,
$T152="60C",Average!$C$5*'UG_NBT y2569-2571 (mat)'!$AD152,
$T152="144C",Average!$C$6*'UG_NBT y2569-2571 (mat)'!$AD152,
$T152="216C",Average!$C$7*'UG_NBT y2569-2571 (mat)'!$AD152)
+_xlfn.IFS($T152="12C",Average!$D$3*'UG_NBT y2569-2571 (mat)'!$AE152,
$T152="24C",Average!$D$4*'UG_NBT y2569-2571 (mat)'!$AE152,
$T152="60C",Average!$D$5*'UG_NBT y2569-2571 (mat)'!$AE152,
$T152="144C",Average!$D$6*'UG_NBT y2569-2571 (mat)'!$AE152,
$T152="216C",Average!$D$7*'UG_NBT y2569-2571 (mat)'!$AE152),0)</f>
        <v>46550</v>
      </c>
      <c r="P152" s="91">
        <f t="shared" si="19"/>
        <v>57900</v>
      </c>
      <c r="Q152" s="54" t="s">
        <v>787</v>
      </c>
      <c r="R152" s="30" t="s">
        <v>675</v>
      </c>
      <c r="S152" s="30" t="s">
        <v>676</v>
      </c>
      <c r="T152" s="54" t="s">
        <v>453</v>
      </c>
      <c r="U152" s="54"/>
      <c r="V152" s="54">
        <f>AF152</f>
        <v>0.7</v>
      </c>
      <c r="W152" s="54"/>
      <c r="X152" s="54"/>
      <c r="Y152" s="54"/>
      <c r="Z152" s="72" cm="1">
        <f t="array" ref="Z152">_xlfn.LET(
_xlpm.a,IF(ISNUMBER($U152),$U152,IFERROR(_xlfn.NUMBERVALUE(TRIM($U152)),0)),
_xlpm.b,IF(ISNUMBER($V152),$V152,IFERROR(_xlfn.NUMBERVALUE(TRIM($V152)),0)),
_xlpm.score,_xlfn.LAMBDA(_xlpm.x,_xlfn.IFS(_xlpm.x&lt;0,0,_xlpm.x=0,0,_xlpm.x&lt;=0.5,2,_xlpm.x&lt;=1,3,_xlpm.x&lt;=1.5,4,
_xlpm.x&lt;=2,5,_xlpm.x&lt;=3,6,_xlpm.x&lt;=4,7,_xlpm.x&lt;=5,8,_xlpm.x&gt;5,9)),
_xlpm.score(_xlpm.a)+_xlpm.score(_xlpm.b))</f>
        <v>3</v>
      </c>
      <c r="AA152" s="72" cm="1">
        <f t="array" ref="AA152">_xlfn.IFS($W152=0,0,AND($W152&gt;0,$W152&lt;=0.5),2,AND($W152&gt;0.5,$W152&lt;=1),3,AND($W152&gt;1,$W152&lt;=1.5),4,AND($W152&gt;1.5,$W152&lt;=2),5,AND($W152&gt;2,$W152&lt;=3),6,AND($W152&gt;3,$W152&lt;=4),7,$W152&gt;4,8)</f>
        <v>0</v>
      </c>
      <c r="AB152" s="72" cm="1">
        <f t="array" ref="AB152">_xlfn.IFS($X152=0,0,AND($X152&gt;0,$X152&lt;=0.5),2,AND($X152&gt;0.5,$X152&lt;=1),3,AND($X152&gt;1,$X152&lt;=1.5),4,AND($X152&gt;1.5,$X152&lt;=2),5,AND($X152&gt;2,$X152&lt;=3),6,AND($X152&gt;3,$X152&lt;=4),7,$X152&gt;4,8)</f>
        <v>0</v>
      </c>
      <c r="AC152" s="72" cm="1">
        <f t="array" ref="AC152">_xlfn.IFS($Y152=0,0,AND($Y152&gt;0,$Y152&lt;=0.5),2,AND($Y152&gt;0.5,$Y152&lt;=1),3,AND($Y152&gt;1,$Y152&lt;=1.5),4,AND($Y152&gt;1.5,$Y152&lt;=2),5,AND($Y152&gt;2,$Y152&lt;=3),6,AND($Y152&gt;3,$Y152&lt;=4),7,$Y152&gt;4,8)</f>
        <v>0</v>
      </c>
      <c r="AD152" s="54">
        <v>0.5</v>
      </c>
      <c r="AE152" s="54">
        <v>0.2</v>
      </c>
      <c r="AF152" s="54">
        <f t="shared" si="15"/>
        <v>0.7</v>
      </c>
      <c r="AG152" s="55">
        <v>2569</v>
      </c>
      <c r="AH152" s="54" t="s">
        <v>47</v>
      </c>
    </row>
    <row r="153" spans="1:34" ht="25.5" x14ac:dyDescent="0.2">
      <c r="A153" s="52">
        <v>150</v>
      </c>
      <c r="B153" s="52" t="s">
        <v>415</v>
      </c>
      <c r="C153" s="52" t="s">
        <v>503</v>
      </c>
      <c r="D153" s="52" t="s">
        <v>28</v>
      </c>
      <c r="E153" s="52" t="s">
        <v>677</v>
      </c>
      <c r="F153" s="53" t="s">
        <v>678</v>
      </c>
      <c r="G153" s="54">
        <v>10</v>
      </c>
      <c r="H153" s="55" t="s">
        <v>506</v>
      </c>
      <c r="I153" s="55">
        <v>2569</v>
      </c>
      <c r="J153" s="56"/>
      <c r="K153" s="56" t="s">
        <v>631</v>
      </c>
      <c r="L153" s="70" t="s">
        <v>133</v>
      </c>
      <c r="M153" s="55" t="s">
        <v>35</v>
      </c>
      <c r="N153" s="13" t="s">
        <v>71</v>
      </c>
      <c r="O153" s="91" cm="1">
        <f t="array" ref="O153">IFERROR(_xlfn.IFS($T153="12C",Average!$C$3*'UG_NBT y2569-2571 (mat)'!$AD153,
$T153="24C",Average!$C$4*'UG_NBT y2569-2571 (mat)'!$AD153,
$T153="60C",Average!$C$5*'UG_NBT y2569-2571 (mat)'!$AD153,
$T153="144C",Average!$C$6*'UG_NBT y2569-2571 (mat)'!$AD153,
$T153="216C",Average!$C$7*'UG_NBT y2569-2571 (mat)'!$AD153)
+_xlfn.IFS($T153="12C",Average!$D$3*'UG_NBT y2569-2571 (mat)'!$AE153,
$T153="24C",Average!$D$4*'UG_NBT y2569-2571 (mat)'!$AE153,
$T153="60C",Average!$D$5*'UG_NBT y2569-2571 (mat)'!$AE153,
$T153="144C",Average!$D$6*'UG_NBT y2569-2571 (mat)'!$AE153,
$T153="216C",Average!$D$7*'UG_NBT y2569-2571 (mat)'!$AE153),0)</f>
        <v>141446.39999999999</v>
      </c>
      <c r="P153" s="91">
        <f t="shared" si="19"/>
        <v>138960</v>
      </c>
      <c r="Q153" s="54" t="s">
        <v>787</v>
      </c>
      <c r="R153" s="30" t="s">
        <v>679</v>
      </c>
      <c r="S153" s="30" t="s">
        <v>680</v>
      </c>
      <c r="T153" s="54" t="s">
        <v>53</v>
      </c>
      <c r="U153" s="54"/>
      <c r="V153" s="54"/>
      <c r="W153" s="54">
        <f>AF153</f>
        <v>1.2</v>
      </c>
      <c r="X153" s="54"/>
      <c r="Y153" s="54"/>
      <c r="Z153" s="72" cm="1">
        <f t="array" ref="Z153">_xlfn.LET(
_xlpm.a,IF(ISNUMBER($U153),$U153,IFERROR(_xlfn.NUMBERVALUE(TRIM($U153)),0)),
_xlpm.b,IF(ISNUMBER($V153),$V153,IFERROR(_xlfn.NUMBERVALUE(TRIM($V153)),0)),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53" s="72" cm="1">
        <f t="array" ref="AA153">_xlfn.IFS($W153=0,0,AND($W153&gt;0,$W153&lt;=0.5),2,AND($W153&gt;0.5,$W153&lt;=1),3,AND($W153&gt;1,$W153&lt;=1.5),4,AND($W153&gt;1.5,$W153&lt;=2),5,AND($W153&gt;2,$W153&lt;=3),6,AND($W153&gt;3,$W153&lt;=4),7,$W153&gt;4,8)</f>
        <v>4</v>
      </c>
      <c r="AB153" s="72" cm="1">
        <f t="array" ref="AB153">_xlfn.IFS($X153=0,0,AND($X153&gt;0,$X153&lt;=0.5),2,AND($X153&gt;0.5,$X153&lt;=1),3,AND($X153&gt;1,$X153&lt;=1.5),4,AND($X153&gt;1.5,$X153&lt;=2),5,AND($X153&gt;2,$X153&lt;=3),6,AND($X153&gt;3,$X153&lt;=4),7,$X153&gt;4,8)</f>
        <v>0</v>
      </c>
      <c r="AC153" s="72" cm="1">
        <f t="array" ref="AC153">_xlfn.IFS($Y153=0,0,AND($Y153&gt;0,$Y153&lt;=0.5),2,AND($Y153&gt;0.5,$Y153&lt;=1),3,AND($Y153&gt;1,$Y153&lt;=1.5),4,AND($Y153&gt;1.5,$Y153&lt;=2),5,AND($Y153&gt;2,$Y153&lt;=3),6,AND($Y153&gt;3,$Y153&lt;=4),7,$Y153&gt;4,8)</f>
        <v>0</v>
      </c>
      <c r="AD153" s="54">
        <v>1.2</v>
      </c>
      <c r="AE153" s="54">
        <v>0</v>
      </c>
      <c r="AF153" s="54">
        <f t="shared" ref="AF153:AF175" si="20">AD153+AE153</f>
        <v>1.2</v>
      </c>
      <c r="AG153" s="55">
        <v>2569</v>
      </c>
      <c r="AH153" s="54" t="s">
        <v>47</v>
      </c>
    </row>
    <row r="154" spans="1:34" x14ac:dyDescent="0.2">
      <c r="A154" s="52">
        <v>151</v>
      </c>
      <c r="B154" s="52" t="s">
        <v>415</v>
      </c>
      <c r="C154" s="52" t="s">
        <v>458</v>
      </c>
      <c r="D154" s="52" t="s">
        <v>28</v>
      </c>
      <c r="E154" s="52" t="s">
        <v>681</v>
      </c>
      <c r="F154" s="53" t="s">
        <v>682</v>
      </c>
      <c r="G154" s="54">
        <v>8.4</v>
      </c>
      <c r="H154" s="55" t="s">
        <v>461</v>
      </c>
      <c r="I154" s="55">
        <v>2570</v>
      </c>
      <c r="J154" s="56"/>
      <c r="K154" s="56"/>
      <c r="L154" s="70" t="s">
        <v>133</v>
      </c>
      <c r="M154" s="55" t="s">
        <v>134</v>
      </c>
      <c r="N154" s="13" t="s">
        <v>71</v>
      </c>
      <c r="O154" s="91" cm="1">
        <f t="array" ref="O154">IFERROR(_xlfn.IFS($T154="12C",Average!$C$3*'UG_NBT y2569-2571 (mat)'!$AD154,
$T154="24C",Average!$C$4*'UG_NBT y2569-2571 (mat)'!$AD154,
$T154="60C",Average!$C$5*'UG_NBT y2569-2571 (mat)'!$AD154,
$T154="144C",Average!$C$6*'UG_NBT y2569-2571 (mat)'!$AD154,
$T154="216C",Average!$C$7*'UG_NBT y2569-2571 (mat)'!$AD154)
+_xlfn.IFS($T154="12C",Average!$D$3*'UG_NBT y2569-2571 (mat)'!$AE154,
$T154="24C",Average!$D$4*'UG_NBT y2569-2571 (mat)'!$AE154,
$T154="60C",Average!$D$5*'UG_NBT y2569-2571 (mat)'!$AE154,
$T154="144C",Average!$D$6*'UG_NBT y2569-2571 (mat)'!$AE154,
$T154="216C",Average!$D$7*'UG_NBT y2569-2571 (mat)'!$AE154),0)</f>
        <v>732225</v>
      </c>
      <c r="P154" s="91">
        <f t="shared" si="19"/>
        <v>289500</v>
      </c>
      <c r="Q154" s="54" t="s">
        <v>37</v>
      </c>
      <c r="R154" s="31" t="s">
        <v>683</v>
      </c>
      <c r="S154" s="31" t="s">
        <v>684</v>
      </c>
      <c r="T154" s="54" t="s">
        <v>185</v>
      </c>
      <c r="U154" s="54"/>
      <c r="V154" s="54"/>
      <c r="W154" s="54"/>
      <c r="X154" s="54"/>
      <c r="Y154" s="54">
        <f>AF154</f>
        <v>2.5</v>
      </c>
      <c r="Z154" s="72" cm="1">
        <f t="array" ref="Z154">_xlfn.LET(
_xlpm.a,IF(ISNUMBER($U154),$U154,IFERROR(_xlfn.NUMBERVALUE(TRIM($U154)),0)),
_xlpm.b,IF(ISNUMBER($V154),$V154,IFERROR(_xlfn.NUMBERVALUE(TRIM($V154)),0)),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54" s="72" cm="1">
        <f t="array" ref="AA154">_xlfn.IFS($W154=0,0,AND($W154&gt;0,$W154&lt;=0.5),2,AND($W154&gt;0.5,$W154&lt;=1),3,AND($W154&gt;1,$W154&lt;=1.5),4,AND($W154&gt;1.5,$W154&lt;=2),5,AND($W154&gt;2,$W154&lt;=3),6,AND($W154&gt;3,$W154&lt;=4),7,$W154&gt;4,8)</f>
        <v>0</v>
      </c>
      <c r="AB154" s="72" cm="1">
        <f t="array" ref="AB154">_xlfn.IFS($X154=0,0,AND($X154&gt;0,$X154&lt;=0.5),2,AND($X154&gt;0.5,$X154&lt;=1),3,AND($X154&gt;1,$X154&lt;=1.5),4,AND($X154&gt;1.5,$X154&lt;=2),5,AND($X154&gt;2,$X154&lt;=3),6,AND($X154&gt;3,$X154&lt;=4),7,$X154&gt;4,8)</f>
        <v>0</v>
      </c>
      <c r="AC154" s="72" cm="1">
        <f t="array" ref="AC154">_xlfn.IFS($Y154=0,0,AND($Y154&gt;0,$Y154&lt;=0.5),2,AND($Y154&gt;0.5,$Y154&lt;=1),3,AND($Y154&gt;1,$Y154&lt;=1.5),4,AND($Y154&gt;1.5,$Y154&lt;=2),5,AND($Y154&gt;2,$Y154&lt;=3),6,AND($Y154&gt;3,$Y154&lt;=4),7,$Y154&gt;4,8)</f>
        <v>6</v>
      </c>
      <c r="AD154" s="54">
        <v>2.5</v>
      </c>
      <c r="AE154" s="54">
        <v>0</v>
      </c>
      <c r="AF154" s="54">
        <f t="shared" si="20"/>
        <v>2.5</v>
      </c>
      <c r="AG154" s="55">
        <v>2570</v>
      </c>
      <c r="AH154" s="54" t="s">
        <v>41</v>
      </c>
    </row>
    <row r="155" spans="1:34" x14ac:dyDescent="0.2">
      <c r="A155" s="52">
        <v>152</v>
      </c>
      <c r="B155" s="52" t="s">
        <v>415</v>
      </c>
      <c r="C155" s="52" t="s">
        <v>503</v>
      </c>
      <c r="D155" s="52" t="s">
        <v>28</v>
      </c>
      <c r="E155" s="52" t="s">
        <v>685</v>
      </c>
      <c r="F155" s="53" t="s">
        <v>686</v>
      </c>
      <c r="G155" s="54">
        <v>5.2</v>
      </c>
      <c r="H155" s="55" t="s">
        <v>506</v>
      </c>
      <c r="I155" s="55">
        <v>2570</v>
      </c>
      <c r="J155" s="56"/>
      <c r="K155" s="56"/>
      <c r="L155" s="70" t="s">
        <v>133</v>
      </c>
      <c r="M155" s="55" t="s">
        <v>35</v>
      </c>
      <c r="N155" s="13" t="s">
        <v>71</v>
      </c>
      <c r="O155" s="91" cm="1">
        <f t="array" ref="O155">IFERROR(_xlfn.IFS($T155="12C",Average!$C$3*'UG_NBT y2569-2571 (mat)'!$AD155,
$T155="24C",Average!$C$4*'UG_NBT y2569-2571 (mat)'!$AD155,
$T155="60C",Average!$C$5*'UG_NBT y2569-2571 (mat)'!$AD155,
$T155="144C",Average!$C$6*'UG_NBT y2569-2571 (mat)'!$AD155,
$T155="216C",Average!$C$7*'UG_NBT y2569-2571 (mat)'!$AD155)
+_xlfn.IFS($T155="12C",Average!$D$3*'UG_NBT y2569-2571 (mat)'!$AE155,
$T155="24C",Average!$D$4*'UG_NBT y2569-2571 (mat)'!$AE155,
$T155="60C",Average!$D$5*'UG_NBT y2569-2571 (mat)'!$AE155,
$T155="144C",Average!$D$6*'UG_NBT y2569-2571 (mat)'!$AE155,
$T155="216C",Average!$D$7*'UG_NBT y2569-2571 (mat)'!$AE155),0)</f>
        <v>282839.59999999998</v>
      </c>
      <c r="P155" s="91">
        <f t="shared" si="19"/>
        <v>208440</v>
      </c>
      <c r="Q155" s="54" t="s">
        <v>787</v>
      </c>
      <c r="R155" s="30" t="s">
        <v>687</v>
      </c>
      <c r="S155" s="30" t="s">
        <v>688</v>
      </c>
      <c r="T155" s="54" t="s">
        <v>53</v>
      </c>
      <c r="U155" s="54"/>
      <c r="V155" s="54"/>
      <c r="W155" s="54">
        <f>AF155</f>
        <v>2.8</v>
      </c>
      <c r="X155" s="54"/>
      <c r="Y155" s="54"/>
      <c r="Z155" s="72" cm="1">
        <f t="array" ref="Z155">_xlfn.LET(
_xlpm.a,IF(ISNUMBER($U155),$U155,IFERROR(_xlfn.NUMBERVALUE(TRIM($U155)),0)),
_xlpm.b,IF(ISNUMBER($V155),$V155,IFERROR(_xlfn.NUMBERVALUE(TRIM($V155)),0)),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55" s="72" cm="1">
        <f t="array" ref="AA155">_xlfn.IFS($W155=0,0,AND($W155&gt;0,$W155&lt;=0.5),2,AND($W155&gt;0.5,$W155&lt;=1),3,AND($W155&gt;1,$W155&lt;=1.5),4,AND($W155&gt;1.5,$W155&lt;=2),5,AND($W155&gt;2,$W155&lt;=3),6,AND($W155&gt;3,$W155&lt;=4),7,$W155&gt;4,8)</f>
        <v>6</v>
      </c>
      <c r="AB155" s="72" cm="1">
        <f t="array" ref="AB155">_xlfn.IFS($X155=0,0,AND($X155&gt;0,$X155&lt;=0.5),2,AND($X155&gt;0.5,$X155&lt;=1),3,AND($X155&gt;1,$X155&lt;=1.5),4,AND($X155&gt;1.5,$X155&lt;=2),5,AND($X155&gt;2,$X155&lt;=3),6,AND($X155&gt;3,$X155&lt;=4),7,$X155&gt;4,8)</f>
        <v>0</v>
      </c>
      <c r="AC155" s="72" cm="1">
        <f t="array" ref="AC155">_xlfn.IFS($Y155=0,0,AND($Y155&gt;0,$Y155&lt;=0.5),2,AND($Y155&gt;0.5,$Y155&lt;=1),3,AND($Y155&gt;1,$Y155&lt;=1.5),4,AND($Y155&gt;1.5,$Y155&lt;=2),5,AND($Y155&gt;2,$Y155&lt;=3),6,AND($Y155&gt;3,$Y155&lt;=4),7,$Y155&gt;4,8)</f>
        <v>0</v>
      </c>
      <c r="AD155" s="54">
        <v>1.8</v>
      </c>
      <c r="AE155" s="54">
        <v>1</v>
      </c>
      <c r="AF155" s="54">
        <f t="shared" si="20"/>
        <v>2.8</v>
      </c>
      <c r="AG155" s="55">
        <v>2570</v>
      </c>
      <c r="AH155" s="54" t="s">
        <v>59</v>
      </c>
    </row>
    <row r="156" spans="1:34" x14ac:dyDescent="0.2">
      <c r="A156" s="52">
        <v>153</v>
      </c>
      <c r="B156" s="52" t="s">
        <v>415</v>
      </c>
      <c r="C156" s="52" t="s">
        <v>503</v>
      </c>
      <c r="D156" s="52" t="s">
        <v>28</v>
      </c>
      <c r="E156" s="52" t="s">
        <v>689</v>
      </c>
      <c r="F156" s="53" t="s">
        <v>690</v>
      </c>
      <c r="G156" s="54">
        <v>2.4</v>
      </c>
      <c r="H156" s="55" t="s">
        <v>506</v>
      </c>
      <c r="I156" s="55">
        <v>2570</v>
      </c>
      <c r="J156" s="56"/>
      <c r="K156" s="56"/>
      <c r="L156" s="70" t="s">
        <v>133</v>
      </c>
      <c r="M156" s="55" t="s">
        <v>35</v>
      </c>
      <c r="N156" s="13" t="s">
        <v>71</v>
      </c>
      <c r="O156" s="91" cm="1">
        <f t="array" ref="O156">IFERROR(_xlfn.IFS($T156="12C",Average!$C$3*'UG_NBT y2569-2571 (mat)'!$AD156,
$T156="24C",Average!$C$4*'UG_NBT y2569-2571 (mat)'!$AD156,
$T156="60C",Average!$C$5*'UG_NBT y2569-2571 (mat)'!$AD156,
$T156="144C",Average!$C$6*'UG_NBT y2569-2571 (mat)'!$AD156,
$T156="216C",Average!$C$7*'UG_NBT y2569-2571 (mat)'!$AD156)
+_xlfn.IFS($T156="12C",Average!$D$3*'UG_NBT y2569-2571 (mat)'!$AE156,
$T156="24C",Average!$D$4*'UG_NBT y2569-2571 (mat)'!$AE156,
$T156="60C",Average!$D$5*'UG_NBT y2569-2571 (mat)'!$AE156,
$T156="144C",Average!$D$6*'UG_NBT y2569-2571 (mat)'!$AE156,
$T156="216C",Average!$D$7*'UG_NBT y2569-2571 (mat)'!$AE156),0)</f>
        <v>118668.6</v>
      </c>
      <c r="P156" s="91">
        <f t="shared" si="19"/>
        <v>34740</v>
      </c>
      <c r="Q156" s="54" t="s">
        <v>787</v>
      </c>
      <c r="R156" s="30" t="s">
        <v>691</v>
      </c>
      <c r="S156" s="30" t="s">
        <v>692</v>
      </c>
      <c r="T156" s="54" t="s">
        <v>87</v>
      </c>
      <c r="U156" s="54">
        <f>AF156</f>
        <v>3.3</v>
      </c>
      <c r="V156" s="54"/>
      <c r="W156" s="54"/>
      <c r="X156" s="54"/>
      <c r="Y156" s="54"/>
      <c r="Z156" s="72" cm="1">
        <f t="array" ref="Z156">_xlfn.LET(
_xlpm.a,IF(ISNUMBER($U156),$U156,IFERROR(_xlfn.NUMBERVALUE(TRIM($U156)),0)),
_xlpm.b,IF(ISNUMBER($V156),$V156,IFERROR(_xlfn.NUMBERVALUE(TRIM($V156)),0)),
_xlpm.score,_xlfn.LAMBDA(_xlpm.x,_xlfn.IFS(_xlpm.x&lt;0,0,_xlpm.x=0,0,_xlpm.x&lt;=0.5,2,_xlpm.x&lt;=1,3,_xlpm.x&lt;=1.5,4,
_xlpm.x&lt;=2,5,_xlpm.x&lt;=3,6,_xlpm.x&lt;=4,7,_xlpm.x&lt;=5,8,_xlpm.x&gt;5,9)),
_xlpm.score(_xlpm.a)+_xlpm.score(_xlpm.b))</f>
        <v>7</v>
      </c>
      <c r="AA156" s="72" cm="1">
        <f t="array" ref="AA156">_xlfn.IFS($W156=0,0,AND($W156&gt;0,$W156&lt;=0.5),2,AND($W156&gt;0.5,$W156&lt;=1),3,AND($W156&gt;1,$W156&lt;=1.5),4,AND($W156&gt;1.5,$W156&lt;=2),5,AND($W156&gt;2,$W156&lt;=3),6,AND($W156&gt;3,$W156&lt;=4),7,$W156&gt;4,8)</f>
        <v>0</v>
      </c>
      <c r="AB156" s="72" cm="1">
        <f t="array" ref="AB156">_xlfn.IFS($X156=0,0,AND($X156&gt;0,$X156&lt;=0.5),2,AND($X156&gt;0.5,$X156&lt;=1),3,AND($X156&gt;1,$X156&lt;=1.5),4,AND($X156&gt;1.5,$X156&lt;=2),5,AND($X156&gt;2,$X156&lt;=3),6,AND($X156&gt;3,$X156&lt;=4),7,$X156&gt;4,8)</f>
        <v>0</v>
      </c>
      <c r="AC156" s="72" cm="1">
        <f t="array" ref="AC156">_xlfn.IFS($Y156=0,0,AND($Y156&gt;0,$Y156&lt;=0.5),2,AND($Y156&gt;0.5,$Y156&lt;=1),3,AND($Y156&gt;1,$Y156&lt;=1.5),4,AND($Y156&gt;1.5,$Y156&lt;=2),5,AND($Y156&gt;2,$Y156&lt;=3),6,AND($Y156&gt;3,$Y156&lt;=4),7,$Y156&gt;4,8)</f>
        <v>0</v>
      </c>
      <c r="AD156" s="54">
        <v>0.3</v>
      </c>
      <c r="AE156" s="54">
        <v>3</v>
      </c>
      <c r="AF156" s="54">
        <f t="shared" si="20"/>
        <v>3.3</v>
      </c>
      <c r="AG156" s="55">
        <v>2570</v>
      </c>
      <c r="AH156" s="54" t="s">
        <v>59</v>
      </c>
    </row>
    <row r="157" spans="1:34" x14ac:dyDescent="0.2">
      <c r="A157" s="52">
        <v>154</v>
      </c>
      <c r="B157" s="52" t="s">
        <v>415</v>
      </c>
      <c r="C157" s="52" t="s">
        <v>693</v>
      </c>
      <c r="D157" s="52" t="s">
        <v>28</v>
      </c>
      <c r="E157" s="52" t="s">
        <v>694</v>
      </c>
      <c r="F157" s="53" t="s">
        <v>695</v>
      </c>
      <c r="G157" s="54">
        <v>1.04</v>
      </c>
      <c r="H157" s="55" t="s">
        <v>419</v>
      </c>
      <c r="I157" s="55">
        <v>2570</v>
      </c>
      <c r="J157" s="56"/>
      <c r="K157" s="56"/>
      <c r="L157" s="55" t="s">
        <v>34</v>
      </c>
      <c r="M157" s="55" t="s">
        <v>134</v>
      </c>
      <c r="N157" s="13" t="s">
        <v>71</v>
      </c>
      <c r="O157" s="91" cm="1">
        <f t="array" ref="O157">IFERROR(_xlfn.IFS($T157="12C",Average!$C$3*'UG_NBT y2569-2571 (mat)'!$AD157,
$T157="24C",Average!$C$4*'UG_NBT y2569-2571 (mat)'!$AD157,
$T157="60C",Average!$C$5*'UG_NBT y2569-2571 (mat)'!$AD157,
$T157="144C",Average!$C$6*'UG_NBT y2569-2571 (mat)'!$AD157,
$T157="216C",Average!$C$7*'UG_NBT y2569-2571 (mat)'!$AD157)
+_xlfn.IFS($T157="12C",Average!$D$3*'UG_NBT y2569-2571 (mat)'!$AE157,
$T157="24C",Average!$D$4*'UG_NBT y2569-2571 (mat)'!$AE157,
$T157="60C",Average!$D$5*'UG_NBT y2569-2571 (mat)'!$AE157,
$T157="144C",Average!$D$6*'UG_NBT y2569-2571 (mat)'!$AE157,
$T157="216C",Average!$D$7*'UG_NBT y2569-2571 (mat)'!$AE157),0)</f>
        <v>147538</v>
      </c>
      <c r="P157" s="91">
        <f t="shared" si="19"/>
        <v>23160</v>
      </c>
      <c r="Q157" s="54" t="s">
        <v>37</v>
      </c>
      <c r="R157" s="30" t="s">
        <v>696</v>
      </c>
      <c r="S157" s="30" t="s">
        <v>697</v>
      </c>
      <c r="T157" s="54" t="s">
        <v>453</v>
      </c>
      <c r="U157" s="54"/>
      <c r="V157" s="54">
        <f>AF157</f>
        <v>3.2</v>
      </c>
      <c r="W157" s="54"/>
      <c r="X157" s="54"/>
      <c r="Y157" s="54"/>
      <c r="Z157" s="72" cm="1">
        <f t="array" ref="Z157">_xlfn.LET(
_xlpm.a,IF(ISNUMBER($U157),$U157,IFERROR(_xlfn.NUMBERVALUE(TRIM($U157)),0)),
_xlpm.b,IF(ISNUMBER($V157),$V157,IFERROR(_xlfn.NUMBERVALUE(TRIM($V157)),0)),
_xlpm.score,_xlfn.LAMBDA(_xlpm.x,_xlfn.IFS(_xlpm.x&lt;0,0,_xlpm.x=0,0,_xlpm.x&lt;=0.5,2,_xlpm.x&lt;=1,3,_xlpm.x&lt;=1.5,4,
_xlpm.x&lt;=2,5,_xlpm.x&lt;=3,6,_xlpm.x&lt;=4,7,_xlpm.x&lt;=5,8,_xlpm.x&gt;5,9)),
_xlpm.score(_xlpm.a)+_xlpm.score(_xlpm.b))</f>
        <v>7</v>
      </c>
      <c r="AA157" s="54" cm="1">
        <f t="array" ref="AA157">_xlfn.IFS($W157=0,0,AND($W157&gt;0,$W157&lt;=0.5),2,AND($W157&gt;0.5,$W157&lt;=1),3,AND($W157&gt;1,$W157&lt;=1.5),4,AND($W157&gt;1.5,$W157&lt;=2),5,AND($W157&gt;2,$W157&lt;=3),6,AND($W157&gt;3,$W157&lt;=4),7,$W157&gt;4,8)</f>
        <v>0</v>
      </c>
      <c r="AB157" s="54" cm="1">
        <f t="array" ref="AB157">_xlfn.IFS($X157=0,0,AND($X157&gt;0,$X157&lt;=0.5),2,AND($X157&gt;0.5,$X157&lt;=1),3,AND($X157&gt;1,$X157&lt;=1.5),4,AND($X157&gt;1.5,$X157&lt;=2),5,AND($X157&gt;2,$X157&lt;=3),6,AND($X157&gt;3,$X157&lt;=4),7,$X157&gt;4,8)</f>
        <v>0</v>
      </c>
      <c r="AC157" s="54" cm="1">
        <f t="array" ref="AC157">_xlfn.IFS($Y157=0,0,AND($Y157&gt;0,$Y157&lt;=0.5),2,AND($Y157&gt;0.5,$Y157&lt;=1),3,AND($Y157&gt;1,$Y157&lt;=1.5),4,AND($Y157&gt;1.5,$Y157&lt;=2),5,AND($Y157&gt;2,$Y157&lt;=3),6,AND($Y157&gt;3,$Y157&lt;=4),7,$Y157&gt;4,8)</f>
        <v>0</v>
      </c>
      <c r="AD157" s="54">
        <v>0.2</v>
      </c>
      <c r="AE157" s="54">
        <v>3</v>
      </c>
      <c r="AF157" s="54">
        <f t="shared" si="20"/>
        <v>3.2</v>
      </c>
      <c r="AG157" s="55">
        <v>2568</v>
      </c>
      <c r="AH157" s="54" t="s">
        <v>41</v>
      </c>
    </row>
    <row r="158" spans="1:34" x14ac:dyDescent="0.2">
      <c r="A158" s="52">
        <v>155</v>
      </c>
      <c r="B158" s="52" t="s">
        <v>415</v>
      </c>
      <c r="C158" s="52" t="s">
        <v>698</v>
      </c>
      <c r="D158" s="52" t="s">
        <v>28</v>
      </c>
      <c r="E158" s="52" t="s">
        <v>699</v>
      </c>
      <c r="F158" s="53" t="s">
        <v>700</v>
      </c>
      <c r="G158" s="54">
        <v>2</v>
      </c>
      <c r="H158" s="55" t="s">
        <v>495</v>
      </c>
      <c r="I158" s="55">
        <v>2570</v>
      </c>
      <c r="J158" s="56"/>
      <c r="K158" s="56"/>
      <c r="L158" s="70" t="s">
        <v>133</v>
      </c>
      <c r="M158" s="55" t="s">
        <v>134</v>
      </c>
      <c r="N158" s="13" t="s">
        <v>71</v>
      </c>
      <c r="O158" s="91" cm="1">
        <f t="array" ref="O158">IFERROR(_xlfn.IFS($T158="12C",Average!$C$3*'UG_NBT y2569-2571 (mat)'!$AD158,
$T158="24C",Average!$C$4*'UG_NBT y2569-2571 (mat)'!$AD158,
$T158="60C",Average!$C$5*'UG_NBT y2569-2571 (mat)'!$AD158,
$T158="144C",Average!$C$6*'UG_NBT y2569-2571 (mat)'!$AD158,
$T158="216C",Average!$C$7*'UG_NBT y2569-2571 (mat)'!$AD158)
+_xlfn.IFS($T158="12C",Average!$D$3*'UG_NBT y2569-2571 (mat)'!$AE158,
$T158="24C",Average!$D$4*'UG_NBT y2569-2571 (mat)'!$AE158,
$T158="60C",Average!$D$5*'UG_NBT y2569-2571 (mat)'!$AE158,
$T158="144C",Average!$D$6*'UG_NBT y2569-2571 (mat)'!$AE158,
$T158="216C",Average!$D$7*'UG_NBT y2569-2571 (mat)'!$AE158),0)</f>
        <v>488775</v>
      </c>
      <c r="P158" s="91">
        <f t="shared" si="19"/>
        <v>289500</v>
      </c>
      <c r="Q158" s="54" t="s">
        <v>787</v>
      </c>
      <c r="R158" s="31" t="s">
        <v>701</v>
      </c>
      <c r="S158" s="31" t="s">
        <v>702</v>
      </c>
      <c r="T158" s="54" t="s">
        <v>40</v>
      </c>
      <c r="U158" s="54"/>
      <c r="V158" s="54"/>
      <c r="W158" s="54"/>
      <c r="X158" s="54">
        <f>AF158</f>
        <v>2.5</v>
      </c>
      <c r="Y158" s="54"/>
      <c r="Z158" s="72" cm="1">
        <f t="array" ref="Z158">_xlfn.LET(
_xlpm.a,IF(ISNUMBER($U158),$U158,IFERROR(_xlfn.NUMBERVALUE(TRIM($U158)),0)),
_xlpm.b,IF(ISNUMBER($V158),$V158,IFERROR(_xlfn.NUMBERVALUE(TRIM($V158)),0)),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58" s="54" cm="1">
        <f t="array" ref="AA158">_xlfn.IFS($W158=0,0,AND($W158&gt;0,$W158&lt;=0.5),2,AND($W158&gt;0.5,$W158&lt;=1),3,AND($W158&gt;1,$W158&lt;=1.5),4,AND($W158&gt;1.5,$W158&lt;=2),5,AND($W158&gt;2,$W158&lt;=3),6,AND($W158&gt;3,$W158&lt;=4),7,$W158&gt;4,8)</f>
        <v>0</v>
      </c>
      <c r="AB158" s="54" cm="1">
        <f t="array" ref="AB158">_xlfn.IFS($X158=0,0,AND($X158&gt;0,$X158&lt;=0.5),2,AND($X158&gt;0.5,$X158&lt;=1),3,AND($X158&gt;1,$X158&lt;=1.5),4,AND($X158&gt;1.5,$X158&lt;=2),5,AND($X158&gt;2,$X158&lt;=3),6,AND($X158&gt;3,$X158&lt;=4),7,$X158&gt;4,8)</f>
        <v>6</v>
      </c>
      <c r="AC158" s="54" cm="1">
        <f t="array" ref="AC158">_xlfn.IFS($Y158=0,0,AND($Y158&gt;0,$Y158&lt;=0.5),2,AND($Y158&gt;0.5,$Y158&lt;=1),3,AND($Y158&gt;1,$Y158&lt;=1.5),4,AND($Y158&gt;1.5,$Y158&lt;=2),5,AND($Y158&gt;2,$Y158&lt;=3),6,AND($Y158&gt;3,$Y158&lt;=4),7,$Y158&gt;4,8)</f>
        <v>0</v>
      </c>
      <c r="AD158" s="54">
        <v>2.5</v>
      </c>
      <c r="AE158" s="54">
        <v>0</v>
      </c>
      <c r="AF158" s="54">
        <f t="shared" si="20"/>
        <v>2.5</v>
      </c>
      <c r="AG158" s="55">
        <v>2570</v>
      </c>
      <c r="AH158" s="54" t="s">
        <v>47</v>
      </c>
    </row>
    <row r="159" spans="1:34" ht="38.25" x14ac:dyDescent="0.2">
      <c r="A159" s="52">
        <v>156</v>
      </c>
      <c r="B159" s="52" t="s">
        <v>415</v>
      </c>
      <c r="C159" s="52" t="s">
        <v>503</v>
      </c>
      <c r="D159" s="52" t="s">
        <v>28</v>
      </c>
      <c r="E159" s="52" t="s">
        <v>703</v>
      </c>
      <c r="F159" s="53" t="s">
        <v>704</v>
      </c>
      <c r="G159" s="54">
        <v>4.8</v>
      </c>
      <c r="H159" s="55" t="s">
        <v>506</v>
      </c>
      <c r="I159" s="55">
        <v>2570</v>
      </c>
      <c r="J159" s="56"/>
      <c r="K159" s="56"/>
      <c r="L159" s="70" t="s">
        <v>133</v>
      </c>
      <c r="M159" s="55" t="s">
        <v>35</v>
      </c>
      <c r="N159" s="13" t="s">
        <v>71</v>
      </c>
      <c r="O159" s="91" cm="1">
        <f t="array" ref="O159">IFERROR(_xlfn.IFS($T159="12C",Average!$C$3*'UG_NBT y2569-2571 (mat)'!$AD159,
$T159="24C",Average!$C$4*'UG_NBT y2569-2571 (mat)'!$AD159,
$T159="60C",Average!$C$5*'UG_NBT y2569-2571 (mat)'!$AD159,
$T159="144C",Average!$C$6*'UG_NBT y2569-2571 (mat)'!$AD159,
$T159="216C",Average!$C$7*'UG_NBT y2569-2571 (mat)'!$AD159)
+_xlfn.IFS($T159="12C",Average!$D$3*'UG_NBT y2569-2571 (mat)'!$AE159,
$T159="24C",Average!$D$4*'UG_NBT y2569-2571 (mat)'!$AE159,
$T159="60C",Average!$D$5*'UG_NBT y2569-2571 (mat)'!$AE159,
$T159="144C",Average!$D$6*'UG_NBT y2569-2571 (mat)'!$AE159,
$T159="216C",Average!$D$7*'UG_NBT y2569-2571 (mat)'!$AE159),0)</f>
        <v>440156</v>
      </c>
      <c r="P159" s="91">
        <f t="shared" si="19"/>
        <v>185280</v>
      </c>
      <c r="Q159" s="54" t="s">
        <v>787</v>
      </c>
      <c r="R159" s="30" t="s">
        <v>705</v>
      </c>
      <c r="S159" s="30" t="s">
        <v>706</v>
      </c>
      <c r="T159" s="54" t="s">
        <v>40</v>
      </c>
      <c r="U159" s="54"/>
      <c r="V159" s="54"/>
      <c r="W159" s="54"/>
      <c r="X159" s="54">
        <f>AF159</f>
        <v>2.6</v>
      </c>
      <c r="Y159" s="54"/>
      <c r="Z159" s="72" cm="1">
        <f t="array" ref="Z159">_xlfn.LET(
_xlpm.a,IF(ISNUMBER($U159),$U159,IFERROR(_xlfn.NUMBERVALUE(TRIM($U159)),0)),
_xlpm.b,IF(ISNUMBER($V159),$V159,IFERROR(_xlfn.NUMBERVALUE(TRIM($V159)),0)),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59" s="54" cm="1">
        <f t="array" ref="AA159">_xlfn.IFS($W159=0,0,AND($W159&gt;0,$W159&lt;=0.5),2,AND($W159&gt;0.5,$W159&lt;=1),3,AND($W159&gt;1,$W159&lt;=1.5),4,AND($W159&gt;1.5,$W159&lt;=2),5,AND($W159&gt;2,$W159&lt;=3),6,AND($W159&gt;3,$W159&lt;=4),7,$W159&gt;4,8)</f>
        <v>0</v>
      </c>
      <c r="AB159" s="54" cm="1">
        <f t="array" ref="AB159">_xlfn.IFS($X159=0,0,AND($X159&gt;0,$X159&lt;=0.5),2,AND($X159&gt;0.5,$X159&lt;=1),3,AND($X159&gt;1,$X159&lt;=1.5),4,AND($X159&gt;1.5,$X159&lt;=2),5,AND($X159&gt;2,$X159&lt;=3),6,AND($X159&gt;3,$X159&lt;=4),7,$X159&gt;4,8)</f>
        <v>6</v>
      </c>
      <c r="AC159" s="54" cm="1">
        <f t="array" ref="AC159">_xlfn.IFS($Y159=0,0,AND($Y159&gt;0,$Y159&lt;=0.5),2,AND($Y159&gt;0.5,$Y159&lt;=1),3,AND($Y159&gt;1,$Y159&lt;=1.5),4,AND($Y159&gt;1.5,$Y159&lt;=2),5,AND($Y159&gt;2,$Y159&lt;=3),6,AND($Y159&gt;3,$Y159&lt;=4),7,$Y159&gt;4,8)</f>
        <v>0</v>
      </c>
      <c r="AD159" s="54">
        <v>1.6</v>
      </c>
      <c r="AE159" s="54">
        <v>1</v>
      </c>
      <c r="AF159" s="54">
        <f t="shared" si="20"/>
        <v>2.6</v>
      </c>
      <c r="AG159" s="55">
        <v>2570</v>
      </c>
      <c r="AH159" s="54" t="s">
        <v>41</v>
      </c>
    </row>
    <row r="160" spans="1:34" x14ac:dyDescent="0.2">
      <c r="A160" s="52">
        <v>157</v>
      </c>
      <c r="B160" s="52" t="s">
        <v>415</v>
      </c>
      <c r="C160" s="52" t="s">
        <v>458</v>
      </c>
      <c r="D160" s="52" t="s">
        <v>28</v>
      </c>
      <c r="E160" s="52" t="s">
        <v>707</v>
      </c>
      <c r="F160" s="53" t="s">
        <v>708</v>
      </c>
      <c r="G160" s="54">
        <v>5.2</v>
      </c>
      <c r="H160" s="55" t="s">
        <v>461</v>
      </c>
      <c r="I160" s="55">
        <v>2570</v>
      </c>
      <c r="J160" s="56"/>
      <c r="K160" s="56"/>
      <c r="L160" s="70" t="s">
        <v>133</v>
      </c>
      <c r="M160" s="55" t="s">
        <v>84</v>
      </c>
      <c r="N160" s="13" t="s">
        <v>71</v>
      </c>
      <c r="O160" s="91" cm="1">
        <f t="array" ref="O160">IFERROR(_xlfn.IFS($T160="12C",Average!$C$3*'UG_NBT y2569-2571 (mat)'!$AD160,
$T160="24C",Average!$C$4*'UG_NBT y2569-2571 (mat)'!$AD160,
$T160="60C",Average!$C$5*'UG_NBT y2569-2571 (mat)'!$AD160,
$T160="144C",Average!$C$6*'UG_NBT y2569-2571 (mat)'!$AD160,
$T160="216C",Average!$C$7*'UG_NBT y2569-2571 (mat)'!$AD160)
+_xlfn.IFS($T160="12C",Average!$D$3*'UG_NBT y2569-2571 (mat)'!$AE160,
$T160="24C",Average!$D$4*'UG_NBT y2569-2571 (mat)'!$AE160,
$T160="60C",Average!$D$5*'UG_NBT y2569-2571 (mat)'!$AE160,
$T160="144C",Average!$D$6*'UG_NBT y2569-2571 (mat)'!$AE160,
$T160="216C",Average!$D$7*'UG_NBT y2569-2571 (mat)'!$AE160),0)</f>
        <v>102990</v>
      </c>
      <c r="P160" s="91">
        <f t="shared" si="19"/>
        <v>0</v>
      </c>
      <c r="Q160" s="54" t="s">
        <v>37</v>
      </c>
      <c r="R160" s="31" t="s">
        <v>709</v>
      </c>
      <c r="S160" s="31" t="s">
        <v>710</v>
      </c>
      <c r="T160" s="54" t="s">
        <v>87</v>
      </c>
      <c r="U160" s="54">
        <f>AF160</f>
        <v>3</v>
      </c>
      <c r="V160" s="54"/>
      <c r="W160" s="54"/>
      <c r="X160" s="54"/>
      <c r="Y160" s="54"/>
      <c r="Z160" s="72" cm="1">
        <f t="array" ref="Z160">_xlfn.LET(
_xlpm.a,IF(ISNUMBER($U160),$U160,IFERROR(_xlfn.NUMBERVALUE(TRIM($U160)),0)),
_xlpm.b,IF(ISNUMBER($V160),$V160,IFERROR(_xlfn.NUMBERVALUE(TRIM($V160)),0)),
_xlpm.score,_xlfn.LAMBDA(_xlpm.x,_xlfn.IFS(_xlpm.x&lt;0,0,_xlpm.x=0,0,_xlpm.x&lt;=0.5,2,_xlpm.x&lt;=1,3,_xlpm.x&lt;=1.5,4,
_xlpm.x&lt;=2,5,_xlpm.x&lt;=3,6,_xlpm.x&lt;=4,7,_xlpm.x&lt;=5,8,_xlpm.x&gt;5,9)),
_xlpm.score(_xlpm.a)+_xlpm.score(_xlpm.b))</f>
        <v>6</v>
      </c>
      <c r="AA160" s="54" cm="1">
        <f t="array" ref="AA160">_xlfn.IFS($W160=0,0,AND($W160&gt;0,$W160&lt;=0.5),2,AND($W160&gt;0.5,$W160&lt;=1),3,AND($W160&gt;1,$W160&lt;=1.5),4,AND($W160&gt;1.5,$W160&lt;=2),5,AND($W160&gt;2,$W160&lt;=3),6,AND($W160&gt;3,$W160&lt;=4),7,$W160&gt;4,8)</f>
        <v>0</v>
      </c>
      <c r="AB160" s="54" cm="1">
        <f t="array" ref="AB160">_xlfn.IFS($X160=0,0,AND($X160&gt;0,$X160&lt;=0.5),2,AND($X160&gt;0.5,$X160&lt;=1),3,AND($X160&gt;1,$X160&lt;=1.5),4,AND($X160&gt;1.5,$X160&lt;=2),5,AND($X160&gt;2,$X160&lt;=3),6,AND($X160&gt;3,$X160&lt;=4),7,$X160&gt;4,8)</f>
        <v>0</v>
      </c>
      <c r="AC160" s="54" cm="1">
        <f t="array" ref="AC160">_xlfn.IFS($Y160=0,0,AND($Y160&gt;0,$Y160&lt;=0.5),2,AND($Y160&gt;0.5,$Y160&lt;=1),3,AND($Y160&gt;1,$Y160&lt;=1.5),4,AND($Y160&gt;1.5,$Y160&lt;=2),5,AND($Y160&gt;2,$Y160&lt;=3),6,AND($Y160&gt;3,$Y160&lt;=4),7,$Y160&gt;4,8)</f>
        <v>0</v>
      </c>
      <c r="AD160" s="54">
        <v>0</v>
      </c>
      <c r="AE160" s="54">
        <v>3</v>
      </c>
      <c r="AF160" s="54">
        <f t="shared" si="20"/>
        <v>3</v>
      </c>
      <c r="AG160" s="55">
        <v>2570</v>
      </c>
      <c r="AH160" s="54" t="s">
        <v>59</v>
      </c>
    </row>
    <row r="161" spans="1:35" x14ac:dyDescent="0.2">
      <c r="A161" s="52">
        <v>158</v>
      </c>
      <c r="B161" s="52" t="s">
        <v>415</v>
      </c>
      <c r="C161" s="52" t="s">
        <v>530</v>
      </c>
      <c r="D161" s="52" t="s">
        <v>28</v>
      </c>
      <c r="E161" s="52" t="s">
        <v>711</v>
      </c>
      <c r="F161" s="53" t="s">
        <v>712</v>
      </c>
      <c r="G161" s="54">
        <v>12</v>
      </c>
      <c r="H161" s="55" t="s">
        <v>427</v>
      </c>
      <c r="I161" s="55">
        <v>2570</v>
      </c>
      <c r="J161" s="56"/>
      <c r="K161" s="56"/>
      <c r="L161" s="55" t="s">
        <v>133</v>
      </c>
      <c r="M161" s="55" t="s">
        <v>134</v>
      </c>
      <c r="N161" s="13" t="s">
        <v>71</v>
      </c>
      <c r="O161" s="91" cm="1">
        <f t="array" ref="O161">IFERROR(_xlfn.IFS($T161="12C",Average!$C$3*'UG_NBT y2569-2571 (mat)'!$AD161,
$T161="24C",Average!$C$4*'UG_NBT y2569-2571 (mat)'!$AD161,
$T161="60C",Average!$C$5*'UG_NBT y2569-2571 (mat)'!$AD161,
$T161="144C",Average!$C$6*'UG_NBT y2569-2571 (mat)'!$AD161,
$T161="216C",Average!$C$7*'UG_NBT y2569-2571 (mat)'!$AD161)
+_xlfn.IFS($T161="12C",Average!$D$3*'UG_NBT y2569-2571 (mat)'!$AE161,
$T161="24C",Average!$D$4*'UG_NBT y2569-2571 (mat)'!$AE161,
$T161="60C",Average!$D$5*'UG_NBT y2569-2571 (mat)'!$AE161,
$T161="144C",Average!$D$6*'UG_NBT y2569-2571 (mat)'!$AE161,
$T161="216C",Average!$D$7*'UG_NBT y2569-2571 (mat)'!$AE161),0)</f>
        <v>54094</v>
      </c>
      <c r="P161" s="91">
        <f t="shared" si="19"/>
        <v>69480</v>
      </c>
      <c r="Q161" s="54" t="s">
        <v>787</v>
      </c>
      <c r="R161" s="30" t="s">
        <v>713</v>
      </c>
      <c r="S161" s="30" t="s">
        <v>714</v>
      </c>
      <c r="T161" s="54" t="s">
        <v>453</v>
      </c>
      <c r="U161" s="54"/>
      <c r="V161" s="54">
        <f t="shared" ref="V161:V162" si="21">AF161</f>
        <v>0.8</v>
      </c>
      <c r="W161" s="54"/>
      <c r="X161" s="54"/>
      <c r="Y161" s="54"/>
      <c r="Z161" s="72" cm="1">
        <f t="array" ref="Z161">_xlfn.LET(
_xlpm.a,IF(ISNUMBER($U161),$U161,IFERROR(_xlfn.NUMBERVALUE(TRIM($U161)),0)),
_xlpm.b,IF(ISNUMBER($V161),$V161,IFERROR(_xlfn.NUMBERVALUE(TRIM($V161)),0)),
_xlpm.score,_xlfn.LAMBDA(_xlpm.x,_xlfn.IFS(_xlpm.x&lt;0,0,_xlpm.x=0,0,_xlpm.x&lt;=0.5,2,_xlpm.x&lt;=1,3,_xlpm.x&lt;=1.5,4,
_xlpm.x&lt;=2,5,_xlpm.x&lt;=3,6,_xlpm.x&lt;=4,7,_xlpm.x&lt;=5,8,_xlpm.x&gt;5,9)),
_xlpm.score(_xlpm.a)+_xlpm.score(_xlpm.b))</f>
        <v>3</v>
      </c>
      <c r="AA161" s="54" cm="1">
        <f t="array" ref="AA161">_xlfn.IFS($W161=0,0,AND($W161&gt;0,$W161&lt;=0.5),2,AND($W161&gt;0.5,$W161&lt;=1),3,AND($W161&gt;1,$W161&lt;=1.5),4,AND($W161&gt;1.5,$W161&lt;=2),5,AND($W161&gt;2,$W161&lt;=3),6,AND($W161&gt;3,$W161&lt;=4),7,$W161&gt;4,8)</f>
        <v>0</v>
      </c>
      <c r="AB161" s="54" cm="1">
        <f t="array" ref="AB161">_xlfn.IFS($X161=0,0,AND($X161&gt;0,$X161&lt;=0.5),2,AND($X161&gt;0.5,$X161&lt;=1),3,AND($X161&gt;1,$X161&lt;=1.5),4,AND($X161&gt;1.5,$X161&lt;=2),5,AND($X161&gt;2,$X161&lt;=3),6,AND($X161&gt;3,$X161&lt;=4),7,$X161&gt;4,8)</f>
        <v>0</v>
      </c>
      <c r="AC161" s="54" cm="1">
        <f t="array" ref="AC161">_xlfn.IFS($Y161=0,0,AND($Y161&gt;0,$Y161&lt;=0.5),2,AND($Y161&gt;0.5,$Y161&lt;=1),3,AND($Y161&gt;1,$Y161&lt;=1.5),4,AND($Y161&gt;1.5,$Y161&lt;=2),5,AND($Y161&gt;2,$Y161&lt;=3),6,AND($Y161&gt;3,$Y161&lt;=4),7,$Y161&gt;4,8)</f>
        <v>0</v>
      </c>
      <c r="AD161" s="54">
        <v>0.6</v>
      </c>
      <c r="AE161" s="54">
        <v>0.2</v>
      </c>
      <c r="AF161" s="54">
        <f t="shared" si="20"/>
        <v>0.8</v>
      </c>
      <c r="AG161" s="55">
        <v>2570</v>
      </c>
      <c r="AH161" s="54" t="s">
        <v>59</v>
      </c>
    </row>
    <row r="162" spans="1:35" x14ac:dyDescent="0.2">
      <c r="A162" s="52">
        <v>159</v>
      </c>
      <c r="B162" s="52" t="s">
        <v>415</v>
      </c>
      <c r="C162" s="52" t="s">
        <v>715</v>
      </c>
      <c r="D162" s="52" t="s">
        <v>28</v>
      </c>
      <c r="E162" s="52" t="s">
        <v>716</v>
      </c>
      <c r="F162" s="53" t="s">
        <v>717</v>
      </c>
      <c r="G162" s="54">
        <v>5.6</v>
      </c>
      <c r="H162" s="55" t="s">
        <v>607</v>
      </c>
      <c r="I162" s="55">
        <v>2570</v>
      </c>
      <c r="J162" s="56"/>
      <c r="K162" s="56"/>
      <c r="L162" s="70" t="s">
        <v>133</v>
      </c>
      <c r="M162" s="55" t="s">
        <v>134</v>
      </c>
      <c r="N162" s="13" t="s">
        <v>71</v>
      </c>
      <c r="O162" s="91" cm="1">
        <f t="array" ref="O162">IFERROR(_xlfn.IFS($T162="12C",Average!$C$3*'UG_NBT y2569-2571 (mat)'!$AD162,
$T162="24C",Average!$C$4*'UG_NBT y2569-2571 (mat)'!$AD162,
$T162="60C",Average!$C$5*'UG_NBT y2569-2571 (mat)'!$AD162,
$T162="144C",Average!$C$6*'UG_NBT y2569-2571 (mat)'!$AD162,
$T162="216C",Average!$C$7*'UG_NBT y2569-2571 (mat)'!$AD162)
+_xlfn.IFS($T162="12C",Average!$D$3*'UG_NBT y2569-2571 (mat)'!$AE162,
$T162="24C",Average!$D$4*'UG_NBT y2569-2571 (mat)'!$AE162,
$T162="60C",Average!$D$5*'UG_NBT y2569-2571 (mat)'!$AE162,
$T162="144C",Average!$D$6*'UG_NBT y2569-2571 (mat)'!$AE162,
$T162="216C",Average!$D$7*'UG_NBT y2569-2571 (mat)'!$AE162),0)</f>
        <v>37720</v>
      </c>
      <c r="P162" s="91">
        <f t="shared" si="19"/>
        <v>57900</v>
      </c>
      <c r="Q162" s="54" t="s">
        <v>787</v>
      </c>
      <c r="R162" s="30" t="s">
        <v>718</v>
      </c>
      <c r="S162" s="30" t="s">
        <v>719</v>
      </c>
      <c r="T162" s="54" t="s">
        <v>453</v>
      </c>
      <c r="U162" s="54"/>
      <c r="V162" s="54">
        <f t="shared" si="21"/>
        <v>0.5</v>
      </c>
      <c r="W162" s="54"/>
      <c r="X162" s="54"/>
      <c r="Y162" s="54"/>
      <c r="Z162" s="72" cm="1">
        <f t="array" ref="Z162">_xlfn.LET(
_xlpm.a,IF(ISNUMBER($U162),$U162,IFERROR(_xlfn.NUMBERVALUE(TRIM($U162)),0)),
_xlpm.b,IF(ISNUMBER($V162),$V162,IFERROR(_xlfn.NUMBERVALUE(TRIM($V162)),0)),
_xlpm.score,_xlfn.LAMBDA(_xlpm.x,_xlfn.IFS(_xlpm.x&lt;0,0,_xlpm.x=0,0,_xlpm.x&lt;=0.5,2,_xlpm.x&lt;=1,3,_xlpm.x&lt;=1.5,4,
_xlpm.x&lt;=2,5,_xlpm.x&lt;=3,6,_xlpm.x&lt;=4,7,_xlpm.x&lt;=5,8,_xlpm.x&gt;5,9)),
_xlpm.score(_xlpm.a)+_xlpm.score(_xlpm.b))</f>
        <v>2</v>
      </c>
      <c r="AA162" s="54" cm="1">
        <f t="array" ref="AA162">_xlfn.IFS($W162=0,0,AND($W162&gt;0,$W162&lt;=0.5),2,AND($W162&gt;0.5,$W162&lt;=1),3,AND($W162&gt;1,$W162&lt;=1.5),4,AND($W162&gt;1.5,$W162&lt;=2),5,AND($W162&gt;2,$W162&lt;=3),6,AND($W162&gt;3,$W162&lt;=4),7,$W162&gt;4,8)</f>
        <v>0</v>
      </c>
      <c r="AB162" s="54" cm="1">
        <f t="array" ref="AB162">_xlfn.IFS($X162=0,0,AND($X162&gt;0,$X162&lt;=0.5),2,AND($X162&gt;0.5,$X162&lt;=1),3,AND($X162&gt;1,$X162&lt;=1.5),4,AND($X162&gt;1.5,$X162&lt;=2),5,AND($X162&gt;2,$X162&lt;=3),6,AND($X162&gt;3,$X162&lt;=4),7,$X162&gt;4,8)</f>
        <v>0</v>
      </c>
      <c r="AC162" s="54" cm="1">
        <f t="array" ref="AC162">_xlfn.IFS($Y162=0,0,AND($Y162&gt;0,$Y162&lt;=0.5),2,AND($Y162&gt;0.5,$Y162&lt;=1),3,AND($Y162&gt;1,$Y162&lt;=1.5),4,AND($Y162&gt;1.5,$Y162&lt;=2),5,AND($Y162&gt;2,$Y162&lt;=3),6,AND($Y162&gt;3,$Y162&lt;=4),7,$Y162&gt;4,8)</f>
        <v>0</v>
      </c>
      <c r="AD162" s="54">
        <v>0.5</v>
      </c>
      <c r="AE162" s="54">
        <v>0</v>
      </c>
      <c r="AF162" s="54">
        <f t="shared" si="20"/>
        <v>0.5</v>
      </c>
      <c r="AG162" s="55">
        <v>2570</v>
      </c>
      <c r="AH162" s="54" t="s">
        <v>41</v>
      </c>
    </row>
    <row r="163" spans="1:35" x14ac:dyDescent="0.2">
      <c r="A163" s="52">
        <v>160</v>
      </c>
      <c r="B163" s="52" t="s">
        <v>415</v>
      </c>
      <c r="C163" s="52" t="s">
        <v>617</v>
      </c>
      <c r="D163" s="52" t="s">
        <v>28</v>
      </c>
      <c r="E163" s="52" t="s">
        <v>720</v>
      </c>
      <c r="F163" s="53" t="s">
        <v>721</v>
      </c>
      <c r="G163" s="54">
        <v>9.1999999999999993</v>
      </c>
      <c r="H163" s="55" t="s">
        <v>56</v>
      </c>
      <c r="I163" s="55">
        <v>2570</v>
      </c>
      <c r="J163" s="56"/>
      <c r="K163" s="56"/>
      <c r="L163" s="54" t="s">
        <v>69</v>
      </c>
      <c r="M163" s="55" t="s">
        <v>134</v>
      </c>
      <c r="N163" s="13" t="s">
        <v>71</v>
      </c>
      <c r="O163" s="91" cm="1">
        <f t="array" ref="O163">IFERROR(_xlfn.IFS($T163="12C",Average!$C$3*'UG_NBT y2569-2571 (mat)'!$AD163,
$T163="24C",Average!$C$4*'UG_NBT y2569-2571 (mat)'!$AD163,
$T163="60C",Average!$C$5*'UG_NBT y2569-2571 (mat)'!$AD163,
$T163="144C",Average!$C$6*'UG_NBT y2569-2571 (mat)'!$AD163,
$T163="216C",Average!$C$7*'UG_NBT y2569-2571 (mat)'!$AD163)
+_xlfn.IFS($T163="12C",Average!$D$3*'UG_NBT y2569-2571 (mat)'!$AE163,
$T163="24C",Average!$D$4*'UG_NBT y2569-2571 (mat)'!$AE163,
$T163="60C",Average!$D$5*'UG_NBT y2569-2571 (mat)'!$AE163,
$T163="144C",Average!$D$6*'UG_NBT y2569-2571 (mat)'!$AE163,
$T163="216C",Average!$D$7*'UG_NBT y2569-2571 (mat)'!$AE163),0)</f>
        <v>0</v>
      </c>
      <c r="P163" s="91">
        <f t="shared" si="19"/>
        <v>0</v>
      </c>
      <c r="Q163" s="54" t="s">
        <v>69</v>
      </c>
      <c r="R163" s="30" t="s">
        <v>783</v>
      </c>
      <c r="S163" s="30" t="s">
        <v>784</v>
      </c>
      <c r="T163" s="54" t="s">
        <v>69</v>
      </c>
      <c r="U163" s="54"/>
      <c r="V163" s="54"/>
      <c r="W163" s="54"/>
      <c r="X163" s="54"/>
      <c r="Y163" s="54"/>
      <c r="Z163" s="72" cm="1">
        <f t="array" ref="Z163">_xlfn.LET(
_xlpm.a,IF(ISNUMBER($U163),$U163,IFERROR(_xlfn.NUMBERVALUE(TRIM($U163)),0)),
_xlpm.b,IF(ISNUMBER($V163),$V163,IFERROR(_xlfn.NUMBERVALUE(TRIM($V163)),0)),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63" s="54" cm="1">
        <f t="array" ref="AA163">_xlfn.IFS($W163=0,0,AND($W163&gt;0,$W163&lt;=0.5),2,AND($W163&gt;0.5,$W163&lt;=1),3,AND($W163&gt;1,$W163&lt;=1.5),4,AND($W163&gt;1.5,$W163&lt;=2),5,AND($W163&gt;2,$W163&lt;=3),6,AND($W163&gt;3,$W163&lt;=4),7,$W163&gt;4,8)</f>
        <v>0</v>
      </c>
      <c r="AB163" s="54" cm="1">
        <f t="array" ref="AB163">_xlfn.IFS($X163=0,0,AND($X163&gt;0,$X163&lt;=0.5),2,AND($X163&gt;0.5,$X163&lt;=1),3,AND($X163&gt;1,$X163&lt;=1.5),4,AND($X163&gt;1.5,$X163&lt;=2),5,AND($X163&gt;2,$X163&lt;=3),6,AND($X163&gt;3,$X163&lt;=4),7,$X163&gt;4,8)</f>
        <v>0</v>
      </c>
      <c r="AC163" s="54" cm="1">
        <f t="array" ref="AC163">_xlfn.IFS($Y163=0,0,AND($Y163&gt;0,$Y163&lt;=0.5),2,AND($Y163&gt;0.5,$Y163&lt;=1),3,AND($Y163&gt;1,$Y163&lt;=1.5),4,AND($Y163&gt;1.5,$Y163&lt;=2),5,AND($Y163&gt;2,$Y163&lt;=3),6,AND($Y163&gt;3,$Y163&lt;=4),7,$Y163&gt;4,8)</f>
        <v>0</v>
      </c>
      <c r="AD163" s="54">
        <v>0</v>
      </c>
      <c r="AE163" s="54">
        <v>0</v>
      </c>
      <c r="AF163" s="54">
        <f t="shared" si="20"/>
        <v>0</v>
      </c>
      <c r="AG163" s="55" t="s">
        <v>69</v>
      </c>
      <c r="AH163" s="54" t="s">
        <v>69</v>
      </c>
    </row>
    <row r="164" spans="1:35" x14ac:dyDescent="0.2">
      <c r="A164" s="52">
        <v>161</v>
      </c>
      <c r="B164" s="52" t="s">
        <v>415</v>
      </c>
      <c r="C164" s="52" t="s">
        <v>722</v>
      </c>
      <c r="D164" s="52" t="s">
        <v>28</v>
      </c>
      <c r="E164" s="52" t="s">
        <v>723</v>
      </c>
      <c r="F164" s="53" t="s">
        <v>724</v>
      </c>
      <c r="G164" s="54">
        <v>5.6</v>
      </c>
      <c r="H164" s="55" t="s">
        <v>527</v>
      </c>
      <c r="I164" s="55">
        <v>2570</v>
      </c>
      <c r="J164" s="56"/>
      <c r="K164" s="56"/>
      <c r="L164" s="55" t="s">
        <v>34</v>
      </c>
      <c r="M164" s="55" t="s">
        <v>84</v>
      </c>
      <c r="N164" s="13" t="s">
        <v>71</v>
      </c>
      <c r="O164" s="91" cm="1">
        <f t="array" ref="O164">IFERROR(_xlfn.IFS($T164="12C",Average!$C$3*'UG_NBT y2569-2571 (mat)'!$AD164,
$T164="24C",Average!$C$4*'UG_NBT y2569-2571 (mat)'!$AD164,
$T164="60C",Average!$C$5*'UG_NBT y2569-2571 (mat)'!$AD164,
$T164="144C",Average!$C$6*'UG_NBT y2569-2571 (mat)'!$AD164,
$T164="216C",Average!$C$7*'UG_NBT y2569-2571 (mat)'!$AD164)
+_xlfn.IFS($T164="12C",Average!$D$3*'UG_NBT y2569-2571 (mat)'!$AE164,
$T164="24C",Average!$D$4*'UG_NBT y2569-2571 (mat)'!$AE164,
$T164="60C",Average!$D$5*'UG_NBT y2569-2571 (mat)'!$AE164,
$T164="144C",Average!$D$6*'UG_NBT y2569-2571 (mat)'!$AE164,
$T164="216C",Average!$D$7*'UG_NBT y2569-2571 (mat)'!$AE164),0)</f>
        <v>141340</v>
      </c>
      <c r="P164" s="91">
        <f t="shared" si="19"/>
        <v>0</v>
      </c>
      <c r="Q164" s="54" t="s">
        <v>37</v>
      </c>
      <c r="R164" s="30" t="s">
        <v>725</v>
      </c>
      <c r="S164" s="30" t="s">
        <v>726</v>
      </c>
      <c r="T164" s="54" t="s">
        <v>53</v>
      </c>
      <c r="U164" s="54"/>
      <c r="V164" s="54"/>
      <c r="W164" s="54">
        <f>AF164</f>
        <v>2</v>
      </c>
      <c r="X164" s="54"/>
      <c r="Y164" s="54"/>
      <c r="Z164" s="72" cm="1">
        <f t="array" ref="Z164">_xlfn.LET(
_xlpm.a,IF(ISNUMBER($U164),$U164,IFERROR(_xlfn.NUMBERVALUE(TRIM($U164)),0)),
_xlpm.b,IF(ISNUMBER($V164),$V164,IFERROR(_xlfn.NUMBERVALUE(TRIM($V164)),0)),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64" s="54" cm="1">
        <f t="array" ref="AA164">_xlfn.IFS($W164=0,0,AND($W164&gt;0,$W164&lt;=0.5),2,AND($W164&gt;0.5,$W164&lt;=1),3,AND($W164&gt;1,$W164&lt;=1.5),4,AND($W164&gt;1.5,$W164&lt;=2),5,AND($W164&gt;2,$W164&lt;=3),6,AND($W164&gt;3,$W164&lt;=4),7,$W164&gt;4,8)</f>
        <v>5</v>
      </c>
      <c r="AB164" s="54" cm="1">
        <f t="array" ref="AB164">_xlfn.IFS($X164=0,0,AND($X164&gt;0,$X164&lt;=0.5),2,AND($X164&gt;0.5,$X164&lt;=1),3,AND($X164&gt;1,$X164&lt;=1.5),4,AND($X164&gt;1.5,$X164&lt;=2),5,AND($X164&gt;2,$X164&lt;=3),6,AND($X164&gt;3,$X164&lt;=4),7,$X164&gt;4,8)</f>
        <v>0</v>
      </c>
      <c r="AC164" s="54" cm="1">
        <f t="array" ref="AC164">_xlfn.IFS($Y164=0,0,AND($Y164&gt;0,$Y164&lt;=0.5),2,AND($Y164&gt;0.5,$Y164&lt;=1),3,AND($Y164&gt;1,$Y164&lt;=1.5),4,AND($Y164&gt;1.5,$Y164&lt;=2),5,AND($Y164&gt;2,$Y164&lt;=3),6,AND($Y164&gt;3,$Y164&lt;=4),7,$Y164&gt;4,8)</f>
        <v>0</v>
      </c>
      <c r="AD164" s="54">
        <v>0</v>
      </c>
      <c r="AE164" s="54">
        <v>2</v>
      </c>
      <c r="AF164" s="54">
        <f t="shared" si="20"/>
        <v>2</v>
      </c>
      <c r="AG164" s="55">
        <v>2568</v>
      </c>
      <c r="AH164" s="54" t="s">
        <v>59</v>
      </c>
    </row>
    <row r="165" spans="1:35" x14ac:dyDescent="0.2">
      <c r="A165" s="52">
        <v>162</v>
      </c>
      <c r="B165" s="52" t="s">
        <v>415</v>
      </c>
      <c r="C165" s="52" t="s">
        <v>727</v>
      </c>
      <c r="D165" s="52" t="s">
        <v>28</v>
      </c>
      <c r="E165" s="52" t="s">
        <v>728</v>
      </c>
      <c r="F165" s="53" t="s">
        <v>729</v>
      </c>
      <c r="G165" s="54">
        <v>24</v>
      </c>
      <c r="H165" s="55" t="s">
        <v>607</v>
      </c>
      <c r="I165" s="55">
        <v>2570</v>
      </c>
      <c r="J165" s="56"/>
      <c r="K165" s="56"/>
      <c r="L165" s="70" t="s">
        <v>133</v>
      </c>
      <c r="M165" s="55" t="s">
        <v>134</v>
      </c>
      <c r="N165" s="13" t="s">
        <v>71</v>
      </c>
      <c r="O165" s="91" cm="1">
        <f t="array" ref="O165">IFERROR(_xlfn.IFS($T165="12C",Average!$C$3*'UG_NBT y2569-2571 (mat)'!$AD165,
$T165="24C",Average!$C$4*'UG_NBT y2569-2571 (mat)'!$AD165,
$T165="60C",Average!$C$5*'UG_NBT y2569-2571 (mat)'!$AD165,
$T165="144C",Average!$C$6*'UG_NBT y2569-2571 (mat)'!$AD165,
$T165="216C",Average!$C$7*'UG_NBT y2569-2571 (mat)'!$AD165)
+_xlfn.IFS($T165="12C",Average!$D$3*'UG_NBT y2569-2571 (mat)'!$AE165,
$T165="24C",Average!$D$4*'UG_NBT y2569-2571 (mat)'!$AE165,
$T165="60C",Average!$D$5*'UG_NBT y2569-2571 (mat)'!$AE165,
$T165="144C",Average!$D$6*'UG_NBT y2569-2571 (mat)'!$AE165,
$T165="216C",Average!$D$7*'UG_NBT y2569-2571 (mat)'!$AE165),0)</f>
        <v>2150610</v>
      </c>
      <c r="P165" s="91">
        <f t="shared" si="19"/>
        <v>1273800</v>
      </c>
      <c r="Q165" s="54" t="s">
        <v>787</v>
      </c>
      <c r="R165" s="30" t="s">
        <v>730</v>
      </c>
      <c r="S165" s="30" t="s">
        <v>731</v>
      </c>
      <c r="T165" s="54" t="s">
        <v>40</v>
      </c>
      <c r="U165" s="54"/>
      <c r="V165" s="54"/>
      <c r="W165" s="54"/>
      <c r="X165" s="54">
        <f>AF165</f>
        <v>11</v>
      </c>
      <c r="Y165" s="54"/>
      <c r="Z165" s="72" cm="1">
        <f t="array" ref="Z165">_xlfn.LET(
_xlpm.a,IF(ISNUMBER($U165),$U165,IFERROR(_xlfn.NUMBERVALUE(TRIM($U165)),0)),
_xlpm.b,IF(ISNUMBER($V165),$V165,IFERROR(_xlfn.NUMBERVALUE(TRIM($V165)),0)),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65" s="54" cm="1">
        <f t="array" ref="AA165">_xlfn.IFS($W165=0,0,AND($W165&gt;0,$W165&lt;=0.5),2,AND($W165&gt;0.5,$W165&lt;=1),3,AND($W165&gt;1,$W165&lt;=1.5),4,AND($W165&gt;1.5,$W165&lt;=2),5,AND($W165&gt;2,$W165&lt;=3),6,AND($W165&gt;3,$W165&lt;=4),7,$W165&gt;4,8)</f>
        <v>0</v>
      </c>
      <c r="AB165" s="54" cm="1">
        <f t="array" ref="AB165">_xlfn.IFS($X165=0,0,AND($X165&gt;0,$X165&lt;=0.5),2,AND($X165&gt;0.5,$X165&lt;=1),3,AND($X165&gt;1,$X165&lt;=1.5),4,AND($X165&gt;1.5,$X165&lt;=2),5,AND($X165&gt;2,$X165&lt;=3),6,AND($X165&gt;3,$X165&lt;=4),7,$X165&gt;4,8)</f>
        <v>8</v>
      </c>
      <c r="AC165" s="54" cm="1">
        <f t="array" ref="AC165">_xlfn.IFS($Y165=0,0,AND($Y165&gt;0,$Y165&lt;=0.5),2,AND($Y165&gt;0.5,$Y165&lt;=1),3,AND($Y165&gt;1,$Y165&lt;=1.5),4,AND($Y165&gt;1.5,$Y165&lt;=2),5,AND($Y165&gt;2,$Y165&lt;=3),6,AND($Y165&gt;3,$Y165&lt;=4),7,$Y165&gt;4,8)</f>
        <v>0</v>
      </c>
      <c r="AD165" s="54">
        <v>11</v>
      </c>
      <c r="AE165" s="54">
        <v>0</v>
      </c>
      <c r="AF165" s="54">
        <f t="shared" si="20"/>
        <v>11</v>
      </c>
      <c r="AG165" s="55">
        <v>2570</v>
      </c>
      <c r="AH165" s="54" t="s">
        <v>47</v>
      </c>
    </row>
    <row r="166" spans="1:35" x14ac:dyDescent="0.2">
      <c r="A166" s="52">
        <v>163</v>
      </c>
      <c r="B166" s="52" t="s">
        <v>415</v>
      </c>
      <c r="C166" s="52" t="s">
        <v>732</v>
      </c>
      <c r="D166" s="52" t="s">
        <v>28</v>
      </c>
      <c r="E166" s="52" t="s">
        <v>733</v>
      </c>
      <c r="F166" s="53" t="s">
        <v>734</v>
      </c>
      <c r="G166" s="54">
        <v>1.6</v>
      </c>
      <c r="H166" s="55" t="s">
        <v>607</v>
      </c>
      <c r="I166" s="55">
        <v>2570</v>
      </c>
      <c r="J166" s="56"/>
      <c r="K166" s="56"/>
      <c r="L166" s="70" t="s">
        <v>133</v>
      </c>
      <c r="M166" s="55" t="s">
        <v>134</v>
      </c>
      <c r="N166" s="13" t="s">
        <v>71</v>
      </c>
      <c r="O166" s="91" cm="1">
        <f t="array" ref="O166">IFERROR(_xlfn.IFS($T166="12C",Average!$C$3*'UG_NBT y2569-2571 (mat)'!$AD166,
$T166="24C",Average!$C$4*'UG_NBT y2569-2571 (mat)'!$AD166,
$T166="60C",Average!$C$5*'UG_NBT y2569-2571 (mat)'!$AD166,
$T166="144C",Average!$C$6*'UG_NBT y2569-2571 (mat)'!$AD166,
$T166="216C",Average!$C$7*'UG_NBT y2569-2571 (mat)'!$AD166)
+_xlfn.IFS($T166="12C",Average!$D$3*'UG_NBT y2569-2571 (mat)'!$AE166,
$T166="24C",Average!$D$4*'UG_NBT y2569-2571 (mat)'!$AE166,
$T166="60C",Average!$D$5*'UG_NBT y2569-2571 (mat)'!$AE166,
$T166="144C",Average!$D$6*'UG_NBT y2569-2571 (mat)'!$AE166,
$T166="216C",Average!$D$7*'UG_NBT y2569-2571 (mat)'!$AE166),0)</f>
        <v>175959</v>
      </c>
      <c r="P166" s="91">
        <f t="shared" si="19"/>
        <v>104220</v>
      </c>
      <c r="Q166" s="54" t="s">
        <v>787</v>
      </c>
      <c r="R166" s="30" t="s">
        <v>735</v>
      </c>
      <c r="S166" s="30" t="s">
        <v>736</v>
      </c>
      <c r="T166" s="54" t="s">
        <v>40</v>
      </c>
      <c r="U166" s="54"/>
      <c r="V166" s="54"/>
      <c r="W166" s="54"/>
      <c r="X166" s="54">
        <f>AF166</f>
        <v>0.9</v>
      </c>
      <c r="Y166" s="54"/>
      <c r="Z166" s="72" cm="1">
        <f t="array" ref="Z166">_xlfn.LET(
_xlpm.a,IF(ISNUMBER($U166),$U166,IFERROR(_xlfn.NUMBERVALUE(TRIM($U166)),0)),
_xlpm.b,IF(ISNUMBER($V166),$V166,IFERROR(_xlfn.NUMBERVALUE(TRIM($V166)),0)),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66" s="54" cm="1">
        <f t="array" ref="AA166">_xlfn.IFS($W166=0,0,AND($W166&gt;0,$W166&lt;=0.5),2,AND($W166&gt;0.5,$W166&lt;=1),3,AND($W166&gt;1,$W166&lt;=1.5),4,AND($W166&gt;1.5,$W166&lt;=2),5,AND($W166&gt;2,$W166&lt;=3),6,AND($W166&gt;3,$W166&lt;=4),7,$W166&gt;4,8)</f>
        <v>0</v>
      </c>
      <c r="AB166" s="54" cm="1">
        <f t="array" ref="AB166">_xlfn.IFS($X166=0,0,AND($X166&gt;0,$X166&lt;=0.5),2,AND($X166&gt;0.5,$X166&lt;=1),3,AND($X166&gt;1,$X166&lt;=1.5),4,AND($X166&gt;1.5,$X166&lt;=2),5,AND($X166&gt;2,$X166&lt;=3),6,AND($X166&gt;3,$X166&lt;=4),7,$X166&gt;4,8)</f>
        <v>3</v>
      </c>
      <c r="AC166" s="54" cm="1">
        <f t="array" ref="AC166">_xlfn.IFS($Y166=0,0,AND($Y166&gt;0,$Y166&lt;=0.5),2,AND($Y166&gt;0.5,$Y166&lt;=1),3,AND($Y166&gt;1,$Y166&lt;=1.5),4,AND($Y166&gt;1.5,$Y166&lt;=2),5,AND($Y166&gt;2,$Y166&lt;=3),6,AND($Y166&gt;3,$Y166&lt;=4),7,$Y166&gt;4,8)</f>
        <v>0</v>
      </c>
      <c r="AD166" s="54">
        <v>0.9</v>
      </c>
      <c r="AE166" s="54">
        <v>0</v>
      </c>
      <c r="AF166" s="54">
        <f t="shared" si="20"/>
        <v>0.9</v>
      </c>
      <c r="AG166" s="55">
        <v>2570</v>
      </c>
      <c r="AH166" s="54" t="s">
        <v>47</v>
      </c>
    </row>
    <row r="167" spans="1:35" x14ac:dyDescent="0.2">
      <c r="A167" s="52">
        <v>164</v>
      </c>
      <c r="B167" s="52" t="s">
        <v>415</v>
      </c>
      <c r="C167" s="52" t="s">
        <v>503</v>
      </c>
      <c r="D167" s="52" t="s">
        <v>28</v>
      </c>
      <c r="E167" s="52" t="s">
        <v>737</v>
      </c>
      <c r="F167" s="53" t="s">
        <v>738</v>
      </c>
      <c r="G167" s="54">
        <v>2.8</v>
      </c>
      <c r="H167" s="55" t="s">
        <v>506</v>
      </c>
      <c r="I167" s="55">
        <v>2570</v>
      </c>
      <c r="J167" s="56"/>
      <c r="K167" s="56"/>
      <c r="L167" s="70" t="s">
        <v>133</v>
      </c>
      <c r="M167" s="55" t="s">
        <v>35</v>
      </c>
      <c r="N167" s="13" t="s">
        <v>71</v>
      </c>
      <c r="O167" s="91" cm="1">
        <f t="array" ref="O167">IFERROR(_xlfn.IFS($T167="12C",Average!$C$3*'UG_NBT y2569-2571 (mat)'!$AD167,
$T167="24C",Average!$C$4*'UG_NBT y2569-2571 (mat)'!$AD167,
$T167="60C",Average!$C$5*'UG_NBT y2569-2571 (mat)'!$AD167,
$T167="144C",Average!$C$6*'UG_NBT y2569-2571 (mat)'!$AD167,
$T167="216C",Average!$C$7*'UG_NBT y2569-2571 (mat)'!$AD167)
+_xlfn.IFS($T167="12C",Average!$D$3*'UG_NBT y2569-2571 (mat)'!$AE167,
$T167="24C",Average!$D$4*'UG_NBT y2569-2571 (mat)'!$AE167,
$T167="60C",Average!$D$5*'UG_NBT y2569-2571 (mat)'!$AE167,
$T167="144C",Average!$D$6*'UG_NBT y2569-2571 (mat)'!$AE167,
$T167="216C",Average!$D$7*'UG_NBT y2569-2571 (mat)'!$AE167),0)</f>
        <v>188542</v>
      </c>
      <c r="P167" s="91">
        <f t="shared" si="19"/>
        <v>115800</v>
      </c>
      <c r="Q167" s="54" t="s">
        <v>787</v>
      </c>
      <c r="R167" s="30" t="s">
        <v>739</v>
      </c>
      <c r="S167" s="30" t="s">
        <v>740</v>
      </c>
      <c r="T167" s="54" t="s">
        <v>53</v>
      </c>
      <c r="U167" s="54"/>
      <c r="V167" s="54"/>
      <c r="W167" s="54">
        <f>AF167</f>
        <v>2</v>
      </c>
      <c r="X167" s="54"/>
      <c r="Y167" s="54"/>
      <c r="Z167" s="72" cm="1">
        <f t="array" ref="Z167">_xlfn.LET(
_xlpm.a,IF(ISNUMBER($U167),$U167,IFERROR(_xlfn.NUMBERVALUE(TRIM($U167)),0)),
_xlpm.b,IF(ISNUMBER($V167),$V167,IFERROR(_xlfn.NUMBERVALUE(TRIM($V167)),0)),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67" s="54" cm="1">
        <f t="array" ref="AA167">_xlfn.IFS($W167=0,0,AND($W167&gt;0,$W167&lt;=0.5),2,AND($W167&gt;0.5,$W167&lt;=1),3,AND($W167&gt;1,$W167&lt;=1.5),4,AND($W167&gt;1.5,$W167&lt;=2),5,AND($W167&gt;2,$W167&lt;=3),6,AND($W167&gt;3,$W167&lt;=4),7,$W167&gt;4,8)</f>
        <v>5</v>
      </c>
      <c r="AB167" s="54" cm="1">
        <f t="array" ref="AB167">_xlfn.IFS($X167=0,0,AND($X167&gt;0,$X167&lt;=0.5),2,AND($X167&gt;0.5,$X167&lt;=1),3,AND($X167&gt;1,$X167&lt;=1.5),4,AND($X167&gt;1.5,$X167&lt;=2),5,AND($X167&gt;2,$X167&lt;=3),6,AND($X167&gt;3,$X167&lt;=4),7,$X167&gt;4,8)</f>
        <v>0</v>
      </c>
      <c r="AC167" s="54" cm="1">
        <f t="array" ref="AC167">_xlfn.IFS($Y167=0,0,AND($Y167&gt;0,$Y167&lt;=0.5),2,AND($Y167&gt;0.5,$Y167&lt;=1),3,AND($Y167&gt;1,$Y167&lt;=1.5),4,AND($Y167&gt;1.5,$Y167&lt;=2),5,AND($Y167&gt;2,$Y167&lt;=3),6,AND($Y167&gt;3,$Y167&lt;=4),7,$Y167&gt;4,8)</f>
        <v>0</v>
      </c>
      <c r="AD167" s="54">
        <v>1</v>
      </c>
      <c r="AE167" s="54">
        <v>1</v>
      </c>
      <c r="AF167" s="54">
        <f t="shared" si="20"/>
        <v>2</v>
      </c>
      <c r="AG167" s="55">
        <v>2570</v>
      </c>
      <c r="AH167" s="54" t="s">
        <v>41</v>
      </c>
    </row>
    <row r="168" spans="1:35" x14ac:dyDescent="0.2">
      <c r="A168" s="52">
        <v>165</v>
      </c>
      <c r="B168" s="52" t="s">
        <v>415</v>
      </c>
      <c r="C168" s="52" t="s">
        <v>693</v>
      </c>
      <c r="D168" s="52" t="s">
        <v>28</v>
      </c>
      <c r="E168" s="52" t="s">
        <v>741</v>
      </c>
      <c r="F168" s="53" t="s">
        <v>742</v>
      </c>
      <c r="G168" s="54">
        <v>2</v>
      </c>
      <c r="H168" s="55" t="s">
        <v>419</v>
      </c>
      <c r="I168" s="55">
        <v>2570</v>
      </c>
      <c r="J168" s="56"/>
      <c r="K168" s="56"/>
      <c r="L168" s="55" t="s">
        <v>34</v>
      </c>
      <c r="M168" s="55" t="s">
        <v>134</v>
      </c>
      <c r="N168" s="13" t="s">
        <v>71</v>
      </c>
      <c r="O168" s="91" cm="1">
        <f t="array" ref="O168">IFERROR(_xlfn.IFS($T168="12C",Average!$C$3*'UG_NBT y2569-2571 (mat)'!$AD168,
$T168="24C",Average!$C$4*'UG_NBT y2569-2571 (mat)'!$AD168,
$T168="60C",Average!$C$5*'UG_NBT y2569-2571 (mat)'!$AD168,
$T168="144C",Average!$C$6*'UG_NBT y2569-2571 (mat)'!$AD168,
$T168="216C",Average!$C$7*'UG_NBT y2569-2571 (mat)'!$AD168)
+_xlfn.IFS($T168="12C",Average!$D$3*'UG_NBT y2569-2571 (mat)'!$AE168,
$T168="24C",Average!$D$4*'UG_NBT y2569-2571 (mat)'!$AE168,
$T168="60C",Average!$D$5*'UG_NBT y2569-2571 (mat)'!$AE168,
$T168="144C",Average!$D$6*'UG_NBT y2569-2571 (mat)'!$AE168,
$T168="216C",Average!$D$7*'UG_NBT y2569-2571 (mat)'!$AE168),0)</f>
        <v>103388</v>
      </c>
      <c r="P168" s="91">
        <f t="shared" si="19"/>
        <v>23160</v>
      </c>
      <c r="Q168" s="54" t="s">
        <v>37</v>
      </c>
      <c r="R168" s="30" t="s">
        <v>743</v>
      </c>
      <c r="S168" s="30" t="s">
        <v>744</v>
      </c>
      <c r="T168" s="54" t="s">
        <v>453</v>
      </c>
      <c r="U168" s="54"/>
      <c r="V168" s="54">
        <f t="shared" ref="V168:V169" si="22">AF168</f>
        <v>2.2000000000000002</v>
      </c>
      <c r="W168" s="54"/>
      <c r="X168" s="54"/>
      <c r="Y168" s="54"/>
      <c r="Z168" s="72" cm="1">
        <f t="array" ref="Z168">_xlfn.LET(
_xlpm.a,IF(ISNUMBER($U168),$U168,IFERROR(_xlfn.NUMBERVALUE(TRIM($U168)),0)),
_xlpm.b,IF(ISNUMBER($V168),$V168,IFERROR(_xlfn.NUMBERVALUE(TRIM($V168)),0)),
_xlpm.score,_xlfn.LAMBDA(_xlpm.x,_xlfn.IFS(_xlpm.x&lt;0,0,_xlpm.x=0,0,_xlpm.x&lt;=0.5,2,_xlpm.x&lt;=1,3,_xlpm.x&lt;=1.5,4,
_xlpm.x&lt;=2,5,_xlpm.x&lt;=3,6,_xlpm.x&lt;=4,7,_xlpm.x&lt;=5,8,_xlpm.x&gt;5,9)),
_xlpm.score(_xlpm.a)+_xlpm.score(_xlpm.b))</f>
        <v>6</v>
      </c>
      <c r="AA168" s="54" cm="1">
        <f t="array" ref="AA168">_xlfn.IFS($W168=0,0,AND($W168&gt;0,$W168&lt;=0.5),2,AND($W168&gt;0.5,$W168&lt;=1),3,AND($W168&gt;1,$W168&lt;=1.5),4,AND($W168&gt;1.5,$W168&lt;=2),5,AND($W168&gt;2,$W168&lt;=3),6,AND($W168&gt;3,$W168&lt;=4),7,$W168&gt;4,8)</f>
        <v>0</v>
      </c>
      <c r="AB168" s="54" cm="1">
        <f t="array" ref="AB168">_xlfn.IFS($X168=0,0,AND($X168&gt;0,$X168&lt;=0.5),2,AND($X168&gt;0.5,$X168&lt;=1),3,AND($X168&gt;1,$X168&lt;=1.5),4,AND($X168&gt;1.5,$X168&lt;=2),5,AND($X168&gt;2,$X168&lt;=3),6,AND($X168&gt;3,$X168&lt;=4),7,$X168&gt;4,8)</f>
        <v>0</v>
      </c>
      <c r="AC168" s="54" cm="1">
        <f t="array" ref="AC168">_xlfn.IFS($Y168=0,0,AND($Y168&gt;0,$Y168&lt;=0.5),2,AND($Y168&gt;0.5,$Y168&lt;=1),3,AND($Y168&gt;1,$Y168&lt;=1.5),4,AND($Y168&gt;1.5,$Y168&lt;=2),5,AND($Y168&gt;2,$Y168&lt;=3),6,AND($Y168&gt;3,$Y168&lt;=4),7,$Y168&gt;4,8)</f>
        <v>0</v>
      </c>
      <c r="AD168" s="54">
        <v>0.2</v>
      </c>
      <c r="AE168" s="54">
        <v>2</v>
      </c>
      <c r="AF168" s="54">
        <f t="shared" si="20"/>
        <v>2.2000000000000002</v>
      </c>
      <c r="AG168" s="55">
        <v>2568</v>
      </c>
      <c r="AH168" s="54" t="s">
        <v>41</v>
      </c>
    </row>
    <row r="169" spans="1:35" ht="25.5" x14ac:dyDescent="0.2">
      <c r="A169" s="52">
        <v>166</v>
      </c>
      <c r="B169" s="52" t="s">
        <v>415</v>
      </c>
      <c r="C169" s="52" t="s">
        <v>745</v>
      </c>
      <c r="D169" s="52" t="s">
        <v>28</v>
      </c>
      <c r="E169" s="52" t="s">
        <v>746</v>
      </c>
      <c r="F169" s="53" t="s">
        <v>747</v>
      </c>
      <c r="G169" s="54">
        <v>10</v>
      </c>
      <c r="H169" s="55" t="s">
        <v>613</v>
      </c>
      <c r="I169" s="55">
        <v>2570</v>
      </c>
      <c r="J169" s="56"/>
      <c r="K169" s="56"/>
      <c r="L169" s="70" t="s">
        <v>133</v>
      </c>
      <c r="M169" s="55" t="s">
        <v>134</v>
      </c>
      <c r="N169" s="13" t="s">
        <v>71</v>
      </c>
      <c r="O169" s="91" cm="1">
        <f t="array" ref="O169">IFERROR(_xlfn.IFS($T169="12C",Average!$C$3*'UG_NBT y2569-2571 (mat)'!$AD169,
$T169="24C",Average!$C$4*'UG_NBT y2569-2571 (mat)'!$AD169,
$T169="60C",Average!$C$5*'UG_NBT y2569-2571 (mat)'!$AD169,
$T169="144C",Average!$C$6*'UG_NBT y2569-2571 (mat)'!$AD169,
$T169="216C",Average!$C$7*'UG_NBT y2569-2571 (mat)'!$AD169)
+_xlfn.IFS($T169="12C",Average!$D$3*'UG_NBT y2569-2571 (mat)'!$AE169,
$T169="24C",Average!$D$4*'UG_NBT y2569-2571 (mat)'!$AE169,
$T169="60C",Average!$D$5*'UG_NBT y2569-2571 (mat)'!$AE169,
$T169="144C",Average!$D$6*'UG_NBT y2569-2571 (mat)'!$AE169,
$T169="216C",Average!$D$7*'UG_NBT y2569-2571 (mat)'!$AE169),0)</f>
        <v>69220.5</v>
      </c>
      <c r="P169" s="91">
        <f t="shared" si="19"/>
        <v>104220</v>
      </c>
      <c r="Q169" s="54" t="s">
        <v>787</v>
      </c>
      <c r="R169" s="30" t="s">
        <v>748</v>
      </c>
      <c r="S169" s="30" t="s">
        <v>749</v>
      </c>
      <c r="T169" s="54" t="s">
        <v>453</v>
      </c>
      <c r="U169" s="54"/>
      <c r="V169" s="54">
        <f t="shared" si="22"/>
        <v>0.93</v>
      </c>
      <c r="W169" s="54"/>
      <c r="X169" s="54"/>
      <c r="Y169" s="54"/>
      <c r="Z169" s="72" cm="1">
        <f t="array" ref="Z169">_xlfn.LET(
_xlpm.a,IF(ISNUMBER($U169),$U169,IFERROR(_xlfn.NUMBERVALUE(TRIM($U169)),0)),
_xlpm.b,IF(ISNUMBER($V169),$V169,IFERROR(_xlfn.NUMBERVALUE(TRIM($V169)),0)),
_xlpm.score,_xlfn.LAMBDA(_xlpm.x,_xlfn.IFS(_xlpm.x&lt;0,0,_xlpm.x=0,0,_xlpm.x&lt;=0.5,2,_xlpm.x&lt;=1,3,_xlpm.x&lt;=1.5,4,
_xlpm.x&lt;=2,5,_xlpm.x&lt;=3,6,_xlpm.x&lt;=4,7,_xlpm.x&lt;=5,8,_xlpm.x&gt;5,9)),
_xlpm.score(_xlpm.a)+_xlpm.score(_xlpm.b))</f>
        <v>3</v>
      </c>
      <c r="AA169" s="54" cm="1">
        <f t="array" ref="AA169">_xlfn.IFS($W169=0,0,AND($W169&gt;0,$W169&lt;=0.5),2,AND($W169&gt;0.5,$W169&lt;=1),3,AND($W169&gt;1,$W169&lt;=1.5),4,AND($W169&gt;1.5,$W169&lt;=2),5,AND($W169&gt;2,$W169&lt;=3),6,AND($W169&gt;3,$W169&lt;=4),7,$W169&gt;4,8)</f>
        <v>0</v>
      </c>
      <c r="AB169" s="54" cm="1">
        <f t="array" ref="AB169">_xlfn.IFS($X169=0,0,AND($X169&gt;0,$X169&lt;=0.5),2,AND($X169&gt;0.5,$X169&lt;=1),3,AND($X169&gt;1,$X169&lt;=1.5),4,AND($X169&gt;1.5,$X169&lt;=2),5,AND($X169&gt;2,$X169&lt;=3),6,AND($X169&gt;3,$X169&lt;=4),7,$X169&gt;4,8)</f>
        <v>0</v>
      </c>
      <c r="AC169" s="54" cm="1">
        <f t="array" ref="AC169">_xlfn.IFS($Y169=0,0,AND($Y169&gt;0,$Y169&lt;=0.5),2,AND($Y169&gt;0.5,$Y169&lt;=1),3,AND($Y169&gt;1,$Y169&lt;=1.5),4,AND($Y169&gt;1.5,$Y169&lt;=2),5,AND($Y169&gt;2,$Y169&lt;=3),6,AND($Y169&gt;3,$Y169&lt;=4),7,$Y169&gt;4,8)</f>
        <v>0</v>
      </c>
      <c r="AD169" s="54">
        <v>0.9</v>
      </c>
      <c r="AE169" s="54">
        <v>0.03</v>
      </c>
      <c r="AF169" s="54">
        <f t="shared" si="20"/>
        <v>0.93</v>
      </c>
      <c r="AG169" s="55">
        <v>2570</v>
      </c>
      <c r="AH169" s="54" t="s">
        <v>59</v>
      </c>
    </row>
    <row r="170" spans="1:35" x14ac:dyDescent="0.2">
      <c r="A170" s="52">
        <v>167</v>
      </c>
      <c r="B170" s="52" t="s">
        <v>415</v>
      </c>
      <c r="C170" s="52" t="s">
        <v>458</v>
      </c>
      <c r="D170" s="52" t="s">
        <v>28</v>
      </c>
      <c r="E170" s="52" t="s">
        <v>750</v>
      </c>
      <c r="F170" s="53" t="s">
        <v>751</v>
      </c>
      <c r="G170" s="54">
        <v>12.8</v>
      </c>
      <c r="H170" s="55" t="s">
        <v>461</v>
      </c>
      <c r="I170" s="55">
        <v>2570</v>
      </c>
      <c r="J170" s="56"/>
      <c r="K170" s="56"/>
      <c r="L170" s="70" t="s">
        <v>133</v>
      </c>
      <c r="M170" s="55" t="s">
        <v>134</v>
      </c>
      <c r="N170" s="13" t="s">
        <v>71</v>
      </c>
      <c r="O170" s="91" cm="1">
        <f t="array" ref="O170">IFERROR(_xlfn.IFS($T170="12C",Average!$C$3*'UG_NBT y2569-2571 (mat)'!$AD170,
$T170="24C",Average!$C$4*'UG_NBT y2569-2571 (mat)'!$AD170,
$T170="60C",Average!$C$5*'UG_NBT y2569-2571 (mat)'!$AD170,
$T170="144C",Average!$C$6*'UG_NBT y2569-2571 (mat)'!$AD170,
$T170="216C",Average!$C$7*'UG_NBT y2569-2571 (mat)'!$AD170)
+_xlfn.IFS($T170="12C",Average!$D$3*'UG_NBT y2569-2571 (mat)'!$AE170,
$T170="24C",Average!$D$4*'UG_NBT y2569-2571 (mat)'!$AE170,
$T170="60C",Average!$D$5*'UG_NBT y2569-2571 (mat)'!$AE170,
$T170="144C",Average!$D$6*'UG_NBT y2569-2571 (mat)'!$AE170,
$T170="216C",Average!$D$7*'UG_NBT y2569-2571 (mat)'!$AE170),0)</f>
        <v>1307542.5</v>
      </c>
      <c r="P170" s="91">
        <f t="shared" si="19"/>
        <v>468990</v>
      </c>
      <c r="Q170" s="54" t="s">
        <v>37</v>
      </c>
      <c r="R170" s="31" t="s">
        <v>752</v>
      </c>
      <c r="S170" s="31" t="s">
        <v>753</v>
      </c>
      <c r="T170" s="54" t="s">
        <v>40</v>
      </c>
      <c r="U170" s="54"/>
      <c r="V170" s="54"/>
      <c r="W170" s="54"/>
      <c r="X170" s="54">
        <f>AF170</f>
        <v>8.1</v>
      </c>
      <c r="Y170" s="54"/>
      <c r="Z170" s="72" cm="1">
        <f t="array" ref="Z170">_xlfn.LET(
_xlpm.a,IF(ISNUMBER($U170),$U170,IFERROR(_xlfn.NUMBERVALUE(TRIM($U170)),0)),
_xlpm.b,IF(ISNUMBER($V170),$V170,IFERROR(_xlfn.NUMBERVALUE(TRIM($V170)),0)),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70" s="54" cm="1">
        <f t="array" ref="AA170">_xlfn.IFS($W170=0,0,AND($W170&gt;0,$W170&lt;=0.5),2,AND($W170&gt;0.5,$W170&lt;=1),3,AND($W170&gt;1,$W170&lt;=1.5),4,AND($W170&gt;1.5,$W170&lt;=2),5,AND($W170&gt;2,$W170&lt;=3),6,AND($W170&gt;3,$W170&lt;=4),7,$W170&gt;4,8)</f>
        <v>0</v>
      </c>
      <c r="AB170" s="54" cm="1">
        <f t="array" ref="AB170">_xlfn.IFS($X170=0,0,AND($X170&gt;0,$X170&lt;=0.5),2,AND($X170&gt;0.5,$X170&lt;=1),3,AND($X170&gt;1,$X170&lt;=1.5),4,AND($X170&gt;1.5,$X170&lt;=2),5,AND($X170&gt;2,$X170&lt;=3),6,AND($X170&gt;3,$X170&lt;=4),7,$X170&gt;4,8)</f>
        <v>8</v>
      </c>
      <c r="AC170" s="54" cm="1">
        <f t="array" ref="AC170">_xlfn.IFS($Y170=0,0,AND($Y170&gt;0,$Y170&lt;=0.5),2,AND($Y170&gt;0.5,$Y170&lt;=1),3,AND($Y170&gt;1,$Y170&lt;=1.5),4,AND($Y170&gt;1.5,$Y170&lt;=2),5,AND($Y170&gt;2,$Y170&lt;=3),6,AND($Y170&gt;3,$Y170&lt;=4),7,$Y170&gt;4,8)</f>
        <v>0</v>
      </c>
      <c r="AD170" s="54">
        <v>4.05</v>
      </c>
      <c r="AE170" s="54">
        <v>4.05</v>
      </c>
      <c r="AF170" s="54">
        <f t="shared" si="20"/>
        <v>8.1</v>
      </c>
      <c r="AG170" s="55">
        <v>2570</v>
      </c>
      <c r="AH170" s="54" t="s">
        <v>41</v>
      </c>
    </row>
    <row r="171" spans="1:35" x14ac:dyDescent="0.2">
      <c r="A171" s="52">
        <v>168</v>
      </c>
      <c r="B171" s="52" t="s">
        <v>415</v>
      </c>
      <c r="C171" s="52" t="s">
        <v>465</v>
      </c>
      <c r="D171" s="52" t="s">
        <v>28</v>
      </c>
      <c r="E171" s="52" t="s">
        <v>754</v>
      </c>
      <c r="F171" s="53" t="s">
        <v>755</v>
      </c>
      <c r="G171" s="54">
        <v>10</v>
      </c>
      <c r="H171" s="55" t="s">
        <v>468</v>
      </c>
      <c r="I171" s="55">
        <v>2570</v>
      </c>
      <c r="J171" s="56"/>
      <c r="K171" s="56"/>
      <c r="L171" s="70" t="s">
        <v>133</v>
      </c>
      <c r="M171" s="55" t="s">
        <v>35</v>
      </c>
      <c r="N171" s="13" t="s">
        <v>71</v>
      </c>
      <c r="O171" s="91" cm="1">
        <f t="array" ref="O171">IFERROR(_xlfn.IFS($T171="12C",Average!$C$3*'UG_NBT y2569-2571 (mat)'!$AD171,
$T171="24C",Average!$C$4*'UG_NBT y2569-2571 (mat)'!$AD171,
$T171="60C",Average!$C$5*'UG_NBT y2569-2571 (mat)'!$AD171,
$T171="144C",Average!$C$6*'UG_NBT y2569-2571 (mat)'!$AD171,
$T171="216C",Average!$C$7*'UG_NBT y2569-2571 (mat)'!$AD171)
+_xlfn.IFS($T171="12C",Average!$D$3*'UG_NBT y2569-2571 (mat)'!$AE171,
$T171="24C",Average!$D$4*'UG_NBT y2569-2571 (mat)'!$AE171,
$T171="60C",Average!$D$5*'UG_NBT y2569-2571 (mat)'!$AE171,
$T171="144C",Average!$D$6*'UG_NBT y2569-2571 (mat)'!$AE171,
$T171="216C",Average!$D$7*'UG_NBT y2569-2571 (mat)'!$AE171),0)</f>
        <v>195510</v>
      </c>
      <c r="P171" s="91">
        <f t="shared" si="19"/>
        <v>115800</v>
      </c>
      <c r="Q171" s="54" t="s">
        <v>787</v>
      </c>
      <c r="R171" s="30" t="s">
        <v>756</v>
      </c>
      <c r="S171" s="30" t="s">
        <v>757</v>
      </c>
      <c r="T171" s="54" t="s">
        <v>40</v>
      </c>
      <c r="U171" s="54"/>
      <c r="V171" s="54"/>
      <c r="W171" s="54"/>
      <c r="X171" s="54">
        <f>AF171</f>
        <v>1</v>
      </c>
      <c r="Y171" s="54"/>
      <c r="Z171" s="72" cm="1">
        <f t="array" ref="Z171">_xlfn.LET(
_xlpm.a,IF(ISNUMBER($U171),$U171,IFERROR(_xlfn.NUMBERVALUE(TRIM($U171)),0)),
_xlpm.b,IF(ISNUMBER($V171),$V171,IFERROR(_xlfn.NUMBERVALUE(TRIM($V171)),0)),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71" s="54" cm="1">
        <f t="array" ref="AA171">_xlfn.IFS($W171=0,0,AND($W171&gt;0,$W171&lt;=0.5),2,AND($W171&gt;0.5,$W171&lt;=1),3,AND($W171&gt;1,$W171&lt;=1.5),4,AND($W171&gt;1.5,$W171&lt;=2),5,AND($W171&gt;2,$W171&lt;=3),6,AND($W171&gt;3,$W171&lt;=4),7,$W171&gt;4,8)</f>
        <v>0</v>
      </c>
      <c r="AB171" s="54" cm="1">
        <f t="array" ref="AB171">_xlfn.IFS($X171=0,0,AND($X171&gt;0,$X171&lt;=0.5),2,AND($X171&gt;0.5,$X171&lt;=1),3,AND($X171&gt;1,$X171&lt;=1.5),4,AND($X171&gt;1.5,$X171&lt;=2),5,AND($X171&gt;2,$X171&lt;=3),6,AND($X171&gt;3,$X171&lt;=4),7,$X171&gt;4,8)</f>
        <v>3</v>
      </c>
      <c r="AC171" s="54" cm="1">
        <f t="array" ref="AC171">_xlfn.IFS($Y171=0,0,AND($Y171&gt;0,$Y171&lt;=0.5),2,AND($Y171&gt;0.5,$Y171&lt;=1),3,AND($Y171&gt;1,$Y171&lt;=1.5),4,AND($Y171&gt;1.5,$Y171&lt;=2),5,AND($Y171&gt;2,$Y171&lt;=3),6,AND($Y171&gt;3,$Y171&lt;=4),7,$Y171&gt;4,8)</f>
        <v>0</v>
      </c>
      <c r="AD171" s="54">
        <v>1</v>
      </c>
      <c r="AE171" s="54">
        <v>0</v>
      </c>
      <c r="AF171" s="54">
        <f t="shared" si="20"/>
        <v>1</v>
      </c>
      <c r="AG171" s="55">
        <v>2570</v>
      </c>
      <c r="AH171" s="54" t="s">
        <v>47</v>
      </c>
    </row>
    <row r="172" spans="1:35" x14ac:dyDescent="0.2">
      <c r="A172" s="52">
        <v>169</v>
      </c>
      <c r="B172" s="52" t="s">
        <v>415</v>
      </c>
      <c r="C172" s="52" t="s">
        <v>503</v>
      </c>
      <c r="D172" s="52" t="s">
        <v>28</v>
      </c>
      <c r="E172" s="52" t="s">
        <v>758</v>
      </c>
      <c r="F172" s="53" t="s">
        <v>759</v>
      </c>
      <c r="G172" s="54">
        <v>0.6</v>
      </c>
      <c r="H172" s="55" t="s">
        <v>506</v>
      </c>
      <c r="I172" s="55">
        <v>2570</v>
      </c>
      <c r="J172" s="56"/>
      <c r="K172" s="56"/>
      <c r="L172" s="54" t="s">
        <v>69</v>
      </c>
      <c r="M172" s="55" t="s">
        <v>70</v>
      </c>
      <c r="N172" s="55" t="s">
        <v>71</v>
      </c>
      <c r="O172" s="54">
        <v>0</v>
      </c>
      <c r="P172" s="54">
        <v>0</v>
      </c>
      <c r="Q172" s="54" t="s">
        <v>69</v>
      </c>
      <c r="R172" s="30" t="s">
        <v>760</v>
      </c>
      <c r="S172" s="30" t="s">
        <v>761</v>
      </c>
      <c r="T172" s="54" t="s">
        <v>69</v>
      </c>
      <c r="U172" s="54"/>
      <c r="V172" s="54"/>
      <c r="W172" s="54"/>
      <c r="X172" s="54"/>
      <c r="Y172" s="54"/>
      <c r="Z172" s="72" cm="1">
        <f t="array" ref="Z172">_xlfn.LET(
_xlpm.a,IF(ISNUMBER($U172),$U172,IFERROR(_xlfn.NUMBERVALUE(TRIM($U172)),0)),
_xlpm.b,IF(ISNUMBER($V172),$V172,IFERROR(_xlfn.NUMBERVALUE(TRIM($V172)),0)),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72" s="54" cm="1">
        <f t="array" ref="AA172">_xlfn.IFS($W172=0,0,AND($W172&gt;0,$W172&lt;=0.5),2,AND($W172&gt;0.5,$W172&lt;=1),3,AND($W172&gt;1,$W172&lt;=1.5),4,AND($W172&gt;1.5,$W172&lt;=2),5,AND($W172&gt;2,$W172&lt;=3),6,AND($W172&gt;3,$W172&lt;=4),7,$W172&gt;4,8)</f>
        <v>0</v>
      </c>
      <c r="AB172" s="54" cm="1">
        <f t="array" ref="AB172">_xlfn.IFS($X172=0,0,AND($X172&gt;0,$X172&lt;=0.5),2,AND($X172&gt;0.5,$X172&lt;=1),3,AND($X172&gt;1,$X172&lt;=1.5),4,AND($X172&gt;1.5,$X172&lt;=2),5,AND($X172&gt;2,$X172&lt;=3),6,AND($X172&gt;3,$X172&lt;=4),7,$X172&gt;4,8)</f>
        <v>0</v>
      </c>
      <c r="AC172" s="54" cm="1">
        <f t="array" ref="AC172">_xlfn.IFS($Y172=0,0,AND($Y172&gt;0,$Y172&lt;=0.5),2,AND($Y172&gt;0.5,$Y172&lt;=1),3,AND($Y172&gt;1,$Y172&lt;=1.5),4,AND($Y172&gt;1.5,$Y172&lt;=2),5,AND($Y172&gt;2,$Y172&lt;=3),6,AND($Y172&gt;3,$Y172&lt;=4),7,$Y172&gt;4,8)</f>
        <v>0</v>
      </c>
      <c r="AD172" s="54">
        <v>0</v>
      </c>
      <c r="AE172" s="54">
        <v>0</v>
      </c>
      <c r="AF172" s="54">
        <f t="shared" si="20"/>
        <v>0</v>
      </c>
      <c r="AG172" s="55" t="s">
        <v>69</v>
      </c>
      <c r="AH172" s="54" t="s">
        <v>69</v>
      </c>
      <c r="AI172" s="65" t="s">
        <v>603</v>
      </c>
    </row>
    <row r="173" spans="1:35" x14ac:dyDescent="0.2">
      <c r="A173" s="52">
        <v>170</v>
      </c>
      <c r="B173" s="52" t="s">
        <v>415</v>
      </c>
      <c r="C173" s="52" t="s">
        <v>693</v>
      </c>
      <c r="D173" s="52" t="s">
        <v>28</v>
      </c>
      <c r="E173" s="52" t="s">
        <v>762</v>
      </c>
      <c r="F173" s="53" t="s">
        <v>763</v>
      </c>
      <c r="G173" s="54">
        <v>0.64</v>
      </c>
      <c r="H173" s="55" t="s">
        <v>419</v>
      </c>
      <c r="I173" s="55">
        <v>2570</v>
      </c>
      <c r="J173" s="56"/>
      <c r="K173" s="56"/>
      <c r="L173" s="54" t="s">
        <v>69</v>
      </c>
      <c r="M173" s="55" t="s">
        <v>70</v>
      </c>
      <c r="N173" s="55" t="s">
        <v>71</v>
      </c>
      <c r="O173" s="54">
        <v>0</v>
      </c>
      <c r="P173" s="54">
        <v>0</v>
      </c>
      <c r="Q173" s="54" t="s">
        <v>69</v>
      </c>
      <c r="R173" s="30" t="s">
        <v>764</v>
      </c>
      <c r="S173" s="30" t="s">
        <v>765</v>
      </c>
      <c r="T173" s="54" t="s">
        <v>69</v>
      </c>
      <c r="U173" s="54"/>
      <c r="V173" s="54"/>
      <c r="W173" s="54"/>
      <c r="X173" s="54"/>
      <c r="Y173" s="54"/>
      <c r="Z173" s="72" cm="1">
        <f t="array" ref="Z173">_xlfn.LET(
_xlpm.a,IF(ISNUMBER($U173),$U173,IFERROR(_xlfn.NUMBERVALUE(TRIM($U173)),0)),
_xlpm.b,IF(ISNUMBER($V173),$V173,IFERROR(_xlfn.NUMBERVALUE(TRIM($V173)),0)),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73" s="54" cm="1">
        <f t="array" ref="AA173">_xlfn.IFS($W173=0,0,AND($W173&gt;0,$W173&lt;=0.5),2,AND($W173&gt;0.5,$W173&lt;=1),3,AND($W173&gt;1,$W173&lt;=1.5),4,AND($W173&gt;1.5,$W173&lt;=2),5,AND($W173&gt;2,$W173&lt;=3),6,AND($W173&gt;3,$W173&lt;=4),7,$W173&gt;4,8)</f>
        <v>0</v>
      </c>
      <c r="AB173" s="54" cm="1">
        <f t="array" ref="AB173">_xlfn.IFS($X173=0,0,AND($X173&gt;0,$X173&lt;=0.5),2,AND($X173&gt;0.5,$X173&lt;=1),3,AND($X173&gt;1,$X173&lt;=1.5),4,AND($X173&gt;1.5,$X173&lt;=2),5,AND($X173&gt;2,$X173&lt;=3),6,AND($X173&gt;3,$X173&lt;=4),7,$X173&gt;4,8)</f>
        <v>0</v>
      </c>
      <c r="AC173" s="54" cm="1">
        <f t="array" ref="AC173">_xlfn.IFS($Y173=0,0,AND($Y173&gt;0,$Y173&lt;=0.5),2,AND($Y173&gt;0.5,$Y173&lt;=1),3,AND($Y173&gt;1,$Y173&lt;=1.5),4,AND($Y173&gt;1.5,$Y173&lt;=2),5,AND($Y173&gt;2,$Y173&lt;=3),6,AND($Y173&gt;3,$Y173&lt;=4),7,$Y173&gt;4,8)</f>
        <v>0</v>
      </c>
      <c r="AD173" s="54">
        <v>0</v>
      </c>
      <c r="AE173" s="54">
        <v>0</v>
      </c>
      <c r="AF173" s="54">
        <f t="shared" si="20"/>
        <v>0</v>
      </c>
      <c r="AG173" s="55" t="s">
        <v>69</v>
      </c>
      <c r="AH173" s="54" t="s">
        <v>69</v>
      </c>
    </row>
    <row r="174" spans="1:35" x14ac:dyDescent="0.2">
      <c r="A174" s="52">
        <v>171</v>
      </c>
      <c r="B174" s="52" t="s">
        <v>415</v>
      </c>
      <c r="C174" s="52" t="s">
        <v>458</v>
      </c>
      <c r="D174" s="52" t="s">
        <v>28</v>
      </c>
      <c r="E174" s="52" t="s">
        <v>766</v>
      </c>
      <c r="F174" s="53" t="s">
        <v>767</v>
      </c>
      <c r="G174" s="54">
        <v>4.8</v>
      </c>
      <c r="H174" s="55" t="s">
        <v>461</v>
      </c>
      <c r="I174" s="55">
        <v>2570</v>
      </c>
      <c r="J174" s="56"/>
      <c r="K174" s="56"/>
      <c r="L174" s="70" t="s">
        <v>133</v>
      </c>
      <c r="M174" s="55" t="s">
        <v>134</v>
      </c>
      <c r="N174" s="13" t="s">
        <v>71</v>
      </c>
      <c r="O174" s="91" cm="1">
        <f t="array" ref="O174">IFERROR(_xlfn.IFS($T174="12C",Average!$C$3*'UG_NBT y2569-2571 (mat)'!$AD174,
$T174="24C",Average!$C$4*'UG_NBT y2569-2571 (mat)'!$AD174,
$T174="60C",Average!$C$5*'UG_NBT y2569-2571 (mat)'!$AD174,
$T174="144C",Average!$C$6*'UG_NBT y2569-2571 (mat)'!$AD174,
$T174="216C",Average!$C$7*'UG_NBT y2569-2571 (mat)'!$AD174)
+_xlfn.IFS($T174="12C",Average!$D$3*'UG_NBT y2569-2571 (mat)'!$AE174,
$T174="24C",Average!$D$4*'UG_NBT y2569-2571 (mat)'!$AE174,
$T174="60C",Average!$D$5*'UG_NBT y2569-2571 (mat)'!$AE174,
$T174="144C",Average!$D$6*'UG_NBT y2569-2571 (mat)'!$AE174,
$T174="216C",Average!$D$7*'UG_NBT y2569-2571 (mat)'!$AE174),0)</f>
        <v>2541630</v>
      </c>
      <c r="P174" s="91">
        <f t="shared" ref="P174:P175" si="23">AD174*9650*12</f>
        <v>1505400</v>
      </c>
      <c r="Q174" s="54" t="s">
        <v>37</v>
      </c>
      <c r="R174" s="30" t="s">
        <v>768</v>
      </c>
      <c r="S174" s="31" t="s">
        <v>769</v>
      </c>
      <c r="T174" s="54" t="s">
        <v>40</v>
      </c>
      <c r="U174" s="54"/>
      <c r="V174" s="54"/>
      <c r="W174" s="54"/>
      <c r="X174" s="54">
        <f>AF174</f>
        <v>13</v>
      </c>
      <c r="Y174" s="54"/>
      <c r="Z174" s="72" cm="1">
        <f t="array" ref="Z174">_xlfn.LET(
_xlpm.a,IF(ISNUMBER($U174),$U174,IFERROR(_xlfn.NUMBERVALUE(TRIM($U174)),0)),
_xlpm.b,IF(ISNUMBER($V174),$V174,IFERROR(_xlfn.NUMBERVALUE(TRIM($V174)),0)),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74" s="54" cm="1">
        <f t="array" ref="AA174">_xlfn.IFS($W174=0,0,AND($W174&gt;0,$W174&lt;=0.5),2,AND($W174&gt;0.5,$W174&lt;=1),3,AND($W174&gt;1,$W174&lt;=1.5),4,AND($W174&gt;1.5,$W174&lt;=2),5,AND($W174&gt;2,$W174&lt;=3),6,AND($W174&gt;3,$W174&lt;=4),7,$W174&gt;4,8)</f>
        <v>0</v>
      </c>
      <c r="AB174" s="54" cm="1">
        <f t="array" ref="AB174">_xlfn.IFS($X174=0,0,AND($X174&gt;0,$X174&lt;=0.5),2,AND($X174&gt;0.5,$X174&lt;=1),3,AND($X174&gt;1,$X174&lt;=1.5),4,AND($X174&gt;1.5,$X174&lt;=2),5,AND($X174&gt;2,$X174&lt;=3),6,AND($X174&gt;3,$X174&lt;=4),7,$X174&gt;4,8)</f>
        <v>8</v>
      </c>
      <c r="AC174" s="54" cm="1">
        <f t="array" ref="AC174">_xlfn.IFS($Y174=0,0,AND($Y174&gt;0,$Y174&lt;=0.5),2,AND($Y174&gt;0.5,$Y174&lt;=1),3,AND($Y174&gt;1,$Y174&lt;=1.5),4,AND($Y174&gt;1.5,$Y174&lt;=2),5,AND($Y174&gt;2,$Y174&lt;=3),6,AND($Y174&gt;3,$Y174&lt;=4),7,$Y174&gt;4,8)</f>
        <v>0</v>
      </c>
      <c r="AD174" s="54">
        <v>13</v>
      </c>
      <c r="AE174" s="54">
        <v>0</v>
      </c>
      <c r="AF174" s="54">
        <f t="shared" si="20"/>
        <v>13</v>
      </c>
      <c r="AG174" s="55">
        <v>2570</v>
      </c>
      <c r="AH174" s="54" t="s">
        <v>59</v>
      </c>
    </row>
    <row r="175" spans="1:35" ht="25.5" x14ac:dyDescent="0.2">
      <c r="A175" s="52">
        <v>172</v>
      </c>
      <c r="B175" s="52" t="s">
        <v>415</v>
      </c>
      <c r="C175" s="52" t="s">
        <v>503</v>
      </c>
      <c r="D175" s="52" t="s">
        <v>28</v>
      </c>
      <c r="E175" s="52" t="s">
        <v>770</v>
      </c>
      <c r="F175" s="53" t="s">
        <v>771</v>
      </c>
      <c r="G175" s="54">
        <v>7.2</v>
      </c>
      <c r="H175" s="55" t="s">
        <v>506</v>
      </c>
      <c r="I175" s="55">
        <v>2570</v>
      </c>
      <c r="J175" s="56"/>
      <c r="K175" s="56"/>
      <c r="L175" s="70" t="s">
        <v>133</v>
      </c>
      <c r="M175" s="55" t="s">
        <v>84</v>
      </c>
      <c r="N175" s="13" t="s">
        <v>71</v>
      </c>
      <c r="O175" s="91" cm="1">
        <f t="array" ref="O175">IFERROR(_xlfn.IFS($T175="12C",Average!$C$3*'UG_NBT y2569-2571 (mat)'!$AD175,
$T175="24C",Average!$C$4*'UG_NBT y2569-2571 (mat)'!$AD175,
$T175="60C",Average!$C$5*'UG_NBT y2569-2571 (mat)'!$AD175,
$T175="144C",Average!$C$6*'UG_NBT y2569-2571 (mat)'!$AD175,
$T175="216C",Average!$C$7*'UG_NBT y2569-2571 (mat)'!$AD175)
+_xlfn.IFS($T175="12C",Average!$D$3*'UG_NBT y2569-2571 (mat)'!$AE175,
$T175="24C",Average!$D$4*'UG_NBT y2569-2571 (mat)'!$AE175,
$T175="60C",Average!$D$5*'UG_NBT y2569-2571 (mat)'!$AE175,
$T175="144C",Average!$D$6*'UG_NBT y2569-2571 (mat)'!$AE175,
$T175="216C",Average!$D$7*'UG_NBT y2569-2571 (mat)'!$AE175),0)</f>
        <v>506823</v>
      </c>
      <c r="P175" s="91">
        <f t="shared" si="23"/>
        <v>463200</v>
      </c>
      <c r="Q175" s="54" t="s">
        <v>787</v>
      </c>
      <c r="R175" s="30" t="s">
        <v>772</v>
      </c>
      <c r="S175" s="30" t="s">
        <v>773</v>
      </c>
      <c r="T175" s="54" t="s">
        <v>53</v>
      </c>
      <c r="U175" s="54"/>
      <c r="V175" s="54"/>
      <c r="W175" s="54">
        <f>AF175</f>
        <v>4.5</v>
      </c>
      <c r="X175" s="54"/>
      <c r="Y175" s="54"/>
      <c r="Z175" s="72" cm="1">
        <f t="array" ref="Z175">_xlfn.LET(
_xlpm.a,IF(ISNUMBER($U175),$U175,IFERROR(_xlfn.NUMBERVALUE(TRIM($U175)),0)),
_xlpm.b,IF(ISNUMBER($V175),$V175,IFERROR(_xlfn.NUMBERVALUE(TRIM($V175)),0)),
_xlpm.score,_xlfn.LAMBDA(_xlpm.x,_xlfn.IFS(_xlpm.x&lt;0,0,_xlpm.x=0,0,_xlpm.x&lt;=0.5,2,_xlpm.x&lt;=1,3,_xlpm.x&lt;=1.5,4,
_xlpm.x&lt;=2,5,_xlpm.x&lt;=3,6,_xlpm.x&lt;=4,7,_xlpm.x&lt;=5,8,_xlpm.x&gt;5,9)),
_xlpm.score(_xlpm.a)+_xlpm.score(_xlpm.b))</f>
        <v>0</v>
      </c>
      <c r="AA175" s="54" cm="1">
        <f t="array" ref="AA175">_xlfn.IFS($W175=0,0,AND($W175&gt;0,$W175&lt;=0.5),2,AND($W175&gt;0.5,$W175&lt;=1),3,AND($W175&gt;1,$W175&lt;=1.5),4,AND($W175&gt;1.5,$W175&lt;=2),5,AND($W175&gt;2,$W175&lt;=3),6,AND($W175&gt;3,$W175&lt;=4),7,$W175&gt;4,8)</f>
        <v>8</v>
      </c>
      <c r="AB175" s="54" cm="1">
        <f t="array" ref="AB175">_xlfn.IFS($X175=0,0,AND($X175&gt;0,$X175&lt;=0.5),2,AND($X175&gt;0.5,$X175&lt;=1),3,AND($X175&gt;1,$X175&lt;=1.5),4,AND($X175&gt;1.5,$X175&lt;=2),5,AND($X175&gt;2,$X175&lt;=3),6,AND($X175&gt;3,$X175&lt;=4),7,$X175&gt;4,8)</f>
        <v>0</v>
      </c>
      <c r="AC175" s="54" cm="1">
        <f t="array" ref="AC175">_xlfn.IFS($Y175=0,0,AND($Y175&gt;0,$Y175&lt;=0.5),2,AND($Y175&gt;0.5,$Y175&lt;=1),3,AND($Y175&gt;1,$Y175&lt;=1.5),4,AND($Y175&gt;1.5,$Y175&lt;=2),5,AND($Y175&gt;2,$Y175&lt;=3),6,AND($Y175&gt;3,$Y175&lt;=4),7,$Y175&gt;4,8)</f>
        <v>0</v>
      </c>
      <c r="AD175" s="54">
        <v>4</v>
      </c>
      <c r="AE175" s="54">
        <v>0.5</v>
      </c>
      <c r="AF175" s="54">
        <f t="shared" si="20"/>
        <v>4.5</v>
      </c>
      <c r="AG175" s="55">
        <v>2570</v>
      </c>
      <c r="AH175" s="54" t="s">
        <v>47</v>
      </c>
    </row>
    <row r="177" spans="15:15" x14ac:dyDescent="0.2">
      <c r="O177" s="67"/>
    </row>
  </sheetData>
  <autoFilter ref="A3:AH175" xr:uid="{CF0387AD-5C38-4694-BEAC-701C18F40BE6}"/>
  <conditionalFormatting sqref="E4:E175">
    <cfRule type="duplicateValues" dxfId="0" priority="1"/>
  </conditionalFormatting>
  <dataValidations count="4">
    <dataValidation type="list" allowBlank="1" showInputMessage="1" sqref="T4:T175 X175 X7:X14 W168:W174 X16 X19:X20 X23:X27 X30:X31 X36:X37 X41 X44:X45 X47:X53 X55 Y5:AC5 X59 X66:X69 X75:X76 X84:X87 X93:X94 X96:X101 U141:U155 X113:X121 X103:X111 X160:X164 X167:X169 X172:X173 X123:X157 U5:W5 X57:AC57 W10:W13 W15 W17:W18 W21:W22 W28:W30 W32:W36 W38:W40 W42:W43 W46 W49 W53:W54 W56:W58 W60:W65 W70:W74 W77:W83 W88:W92 W95 W99:W100 W102:W108 W110:W113 W115:W117 W119 W156:W166 W140:W152 W132:W138 W121:W124 W154 V170:V175 V7:V102 V104:V107 V109:V112 V114 V117:V118 V120:V131 V133:V140 W129:W130 V148 V150:V151 V153:V156 V158:V160 V163:V167 U7:U12 U14:U29 U31:U135 U161:U175 U138:U139 U157:U159 V145 Y7:Y56 Z4:AC4 Z6:AC56 Y58:AC175" xr:uid="{01BF9C76-A1B3-449F-A355-31BB4E932941}">
      <formula1>"2C,12C,24C,60C,144C,216C,n/a"</formula1>
    </dataValidation>
    <dataValidation type="list" allowBlank="1" showInputMessage="1" showErrorMessage="1" sqref="AH4:AH175" xr:uid="{C0E6C0F2-C2E5-4A1A-BF11-93705A7C5E9F}">
      <formula1>"Q1,Q2,Q3,Q4,n/a"</formula1>
    </dataValidation>
    <dataValidation type="list" allowBlank="1" showInputMessage="1" showErrorMessage="1" sqref="AG4:AG175" xr:uid="{04F1406E-5B18-42B5-89AB-7D505691EFB6}">
      <formula1>"2567,2568,2569,2570,2571,2572,n/a"</formula1>
    </dataValidation>
    <dataValidation type="list" allowBlank="1" showInputMessage="1" showErrorMessage="1" sqref="M129:M175 M4:M127" xr:uid="{48750BCB-1839-4974-903B-65971861EA99}">
      <formula1>"ไม่มีโครงข่าย,ลงใต้ดิน,Re-route,ลงใต้ดิน+Re-route"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9E428-CB96-44D0-BE0F-7A2633621C27}">
  <dimension ref="A3:V30"/>
  <sheetViews>
    <sheetView showGridLines="0" topLeftCell="J1" workbookViewId="0">
      <selection activeCell="P39" sqref="P39"/>
    </sheetView>
  </sheetViews>
  <sheetFormatPr defaultRowHeight="14.25" x14ac:dyDescent="0.2"/>
  <cols>
    <col min="1" max="1" width="13.875" bestFit="1" customWidth="1"/>
    <col min="2" max="4" width="11.75" bestFit="1" customWidth="1"/>
    <col min="5" max="6" width="13" bestFit="1" customWidth="1"/>
    <col min="7" max="7" width="26.75" bestFit="1" customWidth="1"/>
    <col min="8" max="8" width="21.75" bestFit="1" customWidth="1"/>
    <col min="9" max="10" width="23" bestFit="1" customWidth="1"/>
    <col min="18" max="18" width="9.75" customWidth="1"/>
    <col min="22" max="22" width="6.5" customWidth="1"/>
  </cols>
  <sheetData>
    <row r="3" spans="1:22" x14ac:dyDescent="0.2">
      <c r="A3" s="77" t="s">
        <v>792</v>
      </c>
      <c r="B3" t="s">
        <v>794</v>
      </c>
      <c r="C3" t="s">
        <v>795</v>
      </c>
      <c r="D3" t="s">
        <v>796</v>
      </c>
      <c r="E3" t="s">
        <v>797</v>
      </c>
      <c r="F3" t="s">
        <v>798</v>
      </c>
      <c r="G3" t="s">
        <v>799</v>
      </c>
      <c r="H3" t="s">
        <v>800</v>
      </c>
      <c r="I3" t="s">
        <v>801</v>
      </c>
      <c r="J3" t="s">
        <v>802</v>
      </c>
      <c r="L3" t="s">
        <v>792</v>
      </c>
      <c r="M3" t="s">
        <v>87</v>
      </c>
      <c r="N3" t="s">
        <v>453</v>
      </c>
      <c r="O3" t="s">
        <v>53</v>
      </c>
      <c r="P3" t="s">
        <v>40</v>
      </c>
      <c r="Q3" t="s">
        <v>185</v>
      </c>
      <c r="R3" s="84" t="s">
        <v>804</v>
      </c>
      <c r="S3" s="85" t="s">
        <v>53</v>
      </c>
      <c r="T3" s="85" t="s">
        <v>40</v>
      </c>
      <c r="U3" s="85" t="s">
        <v>803</v>
      </c>
      <c r="V3" s="83"/>
    </row>
    <row r="4" spans="1:22" hidden="1" x14ac:dyDescent="0.2">
      <c r="A4" s="78">
        <v>2567</v>
      </c>
      <c r="G4" s="80"/>
      <c r="L4" s="81">
        <v>2567</v>
      </c>
      <c r="M4" s="86"/>
      <c r="N4" s="86"/>
      <c r="O4" s="86"/>
      <c r="P4" s="86"/>
      <c r="Q4" s="86"/>
      <c r="R4" s="82"/>
    </row>
    <row r="5" spans="1:22" hidden="1" x14ac:dyDescent="0.2">
      <c r="A5" s="79" t="s">
        <v>59</v>
      </c>
      <c r="D5">
        <v>3.5</v>
      </c>
      <c r="E5">
        <v>7.92</v>
      </c>
      <c r="G5" s="80">
        <v>0</v>
      </c>
      <c r="H5">
        <v>10</v>
      </c>
      <c r="I5">
        <v>8</v>
      </c>
      <c r="J5">
        <v>0</v>
      </c>
      <c r="L5" s="81" t="s">
        <v>59</v>
      </c>
      <c r="M5" s="86"/>
      <c r="N5" s="86"/>
      <c r="O5" s="86">
        <v>3.5</v>
      </c>
      <c r="P5" s="86">
        <v>7.92</v>
      </c>
      <c r="Q5" s="86"/>
      <c r="R5" s="82">
        <v>0</v>
      </c>
      <c r="S5">
        <v>10</v>
      </c>
      <c r="T5">
        <v>8</v>
      </c>
      <c r="U5">
        <v>0</v>
      </c>
    </row>
    <row r="6" spans="1:22" hidden="1" x14ac:dyDescent="0.2">
      <c r="A6" s="79" t="s">
        <v>47</v>
      </c>
      <c r="C6">
        <v>1.3</v>
      </c>
      <c r="D6">
        <v>2</v>
      </c>
      <c r="G6" s="80">
        <v>4</v>
      </c>
      <c r="H6">
        <v>5</v>
      </c>
      <c r="I6">
        <v>0</v>
      </c>
      <c r="J6">
        <v>0</v>
      </c>
      <c r="L6" s="81" t="s">
        <v>47</v>
      </c>
      <c r="M6" s="86"/>
      <c r="N6" s="86">
        <v>1.3</v>
      </c>
      <c r="O6" s="86">
        <v>2</v>
      </c>
      <c r="P6" s="86"/>
      <c r="Q6" s="86"/>
      <c r="R6" s="82">
        <v>4</v>
      </c>
      <c r="S6">
        <v>5</v>
      </c>
      <c r="T6">
        <v>0</v>
      </c>
      <c r="U6">
        <v>0</v>
      </c>
    </row>
    <row r="7" spans="1:22" hidden="1" x14ac:dyDescent="0.2">
      <c r="A7" s="78">
        <v>2568</v>
      </c>
      <c r="G7" s="80"/>
      <c r="L7" s="81">
        <v>2568</v>
      </c>
      <c r="M7" s="86"/>
      <c r="N7" s="86"/>
      <c r="O7" s="86"/>
      <c r="P7" s="86"/>
      <c r="Q7" s="86"/>
      <c r="R7" s="82"/>
    </row>
    <row r="8" spans="1:22" hidden="1" x14ac:dyDescent="0.2">
      <c r="A8" s="79" t="s">
        <v>66</v>
      </c>
      <c r="D8">
        <v>8.8000000000000007</v>
      </c>
      <c r="G8" s="80">
        <v>0</v>
      </c>
      <c r="H8">
        <v>20</v>
      </c>
      <c r="I8">
        <v>0</v>
      </c>
      <c r="J8">
        <v>0</v>
      </c>
      <c r="L8" s="81" t="s">
        <v>66</v>
      </c>
      <c r="M8" s="86"/>
      <c r="N8" s="86"/>
      <c r="O8" s="86">
        <v>8.8000000000000007</v>
      </c>
      <c r="P8" s="86"/>
      <c r="Q8" s="86"/>
      <c r="R8" s="82">
        <v>0</v>
      </c>
      <c r="S8">
        <v>20</v>
      </c>
      <c r="T8">
        <v>0</v>
      </c>
      <c r="U8">
        <v>0</v>
      </c>
    </row>
    <row r="9" spans="1:22" hidden="1" x14ac:dyDescent="0.2">
      <c r="A9" s="79" t="s">
        <v>59</v>
      </c>
      <c r="D9">
        <v>4.5</v>
      </c>
      <c r="E9">
        <v>6.3999999999999995</v>
      </c>
      <c r="G9" s="80">
        <v>0</v>
      </c>
      <c r="H9">
        <v>11</v>
      </c>
      <c r="I9">
        <v>16</v>
      </c>
      <c r="J9">
        <v>0</v>
      </c>
      <c r="L9" s="81" t="s">
        <v>59</v>
      </c>
      <c r="M9" s="86"/>
      <c r="N9" s="86"/>
      <c r="O9" s="86">
        <v>4.5</v>
      </c>
      <c r="P9" s="86">
        <v>6.3999999999999995</v>
      </c>
      <c r="Q9" s="86"/>
      <c r="R9" s="82">
        <v>0</v>
      </c>
      <c r="S9">
        <v>11</v>
      </c>
      <c r="T9">
        <v>16</v>
      </c>
      <c r="U9">
        <v>0</v>
      </c>
    </row>
    <row r="10" spans="1:22" hidden="1" x14ac:dyDescent="0.2">
      <c r="A10" s="79" t="s">
        <v>41</v>
      </c>
      <c r="B10">
        <v>3.2</v>
      </c>
      <c r="C10">
        <v>7.8</v>
      </c>
      <c r="D10">
        <v>6.3</v>
      </c>
      <c r="E10">
        <v>3.96</v>
      </c>
      <c r="G10" s="80">
        <v>30</v>
      </c>
      <c r="H10">
        <v>13</v>
      </c>
      <c r="I10">
        <v>7</v>
      </c>
      <c r="J10">
        <v>0</v>
      </c>
      <c r="L10" s="81" t="s">
        <v>41</v>
      </c>
      <c r="M10" s="86">
        <v>3.2</v>
      </c>
      <c r="N10" s="86">
        <v>7.8</v>
      </c>
      <c r="O10" s="86">
        <v>6.3</v>
      </c>
      <c r="P10" s="86">
        <v>3.96</v>
      </c>
      <c r="Q10" s="86"/>
      <c r="R10" s="82">
        <v>30</v>
      </c>
      <c r="S10">
        <v>13</v>
      </c>
      <c r="T10">
        <v>7</v>
      </c>
      <c r="U10">
        <v>0</v>
      </c>
    </row>
    <row r="11" spans="1:22" hidden="1" x14ac:dyDescent="0.2">
      <c r="A11" s="79" t="s">
        <v>47</v>
      </c>
      <c r="B11">
        <v>0.44</v>
      </c>
      <c r="C11">
        <v>4.4000000000000004</v>
      </c>
      <c r="D11">
        <v>11.824999999999999</v>
      </c>
      <c r="E11">
        <v>33.47</v>
      </c>
      <c r="G11" s="80">
        <v>13</v>
      </c>
      <c r="H11">
        <v>23</v>
      </c>
      <c r="I11">
        <v>41</v>
      </c>
      <c r="J11">
        <v>0</v>
      </c>
      <c r="L11" s="81" t="s">
        <v>47</v>
      </c>
      <c r="M11" s="86">
        <v>0.44</v>
      </c>
      <c r="N11" s="86">
        <v>4.4000000000000004</v>
      </c>
      <c r="O11" s="86">
        <v>11.824999999999999</v>
      </c>
      <c r="P11" s="86">
        <v>33.47</v>
      </c>
      <c r="Q11" s="86"/>
      <c r="R11" s="82">
        <v>13</v>
      </c>
      <c r="S11">
        <v>23</v>
      </c>
      <c r="T11">
        <v>41</v>
      </c>
      <c r="U11">
        <v>0</v>
      </c>
    </row>
    <row r="12" spans="1:22" hidden="1" x14ac:dyDescent="0.2">
      <c r="A12" s="78">
        <v>2569</v>
      </c>
      <c r="G12" s="80"/>
      <c r="L12" s="81">
        <v>2569</v>
      </c>
      <c r="M12" s="86"/>
      <c r="N12" s="86"/>
      <c r="O12" s="86"/>
      <c r="P12" s="86"/>
      <c r="Q12" s="86"/>
      <c r="R12" s="82"/>
    </row>
    <row r="13" spans="1:22" hidden="1" x14ac:dyDescent="0.2">
      <c r="A13" s="79" t="s">
        <v>66</v>
      </c>
      <c r="E13">
        <v>12.319999999999999</v>
      </c>
      <c r="G13" s="80">
        <v>0</v>
      </c>
      <c r="H13">
        <v>0</v>
      </c>
      <c r="I13">
        <v>8</v>
      </c>
      <c r="J13">
        <v>0</v>
      </c>
      <c r="L13" s="81" t="s">
        <v>66</v>
      </c>
      <c r="M13" s="86"/>
      <c r="N13" s="86"/>
      <c r="O13" s="86"/>
      <c r="P13" s="86">
        <v>12.319999999999999</v>
      </c>
      <c r="Q13" s="86"/>
      <c r="R13" s="82">
        <v>0</v>
      </c>
      <c r="S13">
        <v>0</v>
      </c>
      <c r="T13">
        <v>8</v>
      </c>
      <c r="U13">
        <v>0</v>
      </c>
    </row>
    <row r="14" spans="1:22" hidden="1" x14ac:dyDescent="0.2">
      <c r="A14" s="79" t="s">
        <v>59</v>
      </c>
      <c r="D14">
        <v>10.579999999999998</v>
      </c>
      <c r="E14">
        <v>8.36</v>
      </c>
      <c r="F14">
        <v>4</v>
      </c>
      <c r="G14" s="80">
        <v>0</v>
      </c>
      <c r="H14">
        <v>27</v>
      </c>
      <c r="I14">
        <v>18</v>
      </c>
      <c r="J14">
        <v>7</v>
      </c>
      <c r="L14" s="81" t="s">
        <v>59</v>
      </c>
      <c r="M14" s="86"/>
      <c r="N14" s="86"/>
      <c r="O14" s="86">
        <v>10.579999999999998</v>
      </c>
      <c r="P14" s="86">
        <v>8.36</v>
      </c>
      <c r="Q14" s="86">
        <v>4</v>
      </c>
      <c r="R14" s="82">
        <v>0</v>
      </c>
      <c r="S14">
        <v>27</v>
      </c>
      <c r="T14">
        <v>18</v>
      </c>
      <c r="U14">
        <v>7</v>
      </c>
    </row>
    <row r="15" spans="1:22" x14ac:dyDescent="0.2">
      <c r="A15" s="79" t="s">
        <v>41</v>
      </c>
      <c r="C15">
        <v>6.7</v>
      </c>
      <c r="D15">
        <v>18.7</v>
      </c>
      <c r="E15">
        <v>3.96</v>
      </c>
      <c r="F15">
        <v>7.26</v>
      </c>
      <c r="G15" s="80">
        <v>13</v>
      </c>
      <c r="H15">
        <v>19</v>
      </c>
      <c r="I15">
        <v>7</v>
      </c>
      <c r="J15">
        <v>8</v>
      </c>
      <c r="L15" s="81" t="s">
        <v>41</v>
      </c>
      <c r="M15" s="86"/>
      <c r="N15" s="86">
        <v>6.7</v>
      </c>
      <c r="O15" s="86">
        <v>18.7</v>
      </c>
      <c r="P15" s="86">
        <v>3.96</v>
      </c>
      <c r="Q15" s="86">
        <v>7.26</v>
      </c>
      <c r="R15" s="82">
        <v>13</v>
      </c>
      <c r="S15">
        <v>19</v>
      </c>
      <c r="T15">
        <v>7</v>
      </c>
      <c r="U15">
        <v>8</v>
      </c>
    </row>
    <row r="16" spans="1:22" x14ac:dyDescent="0.2">
      <c r="A16" s="79" t="s">
        <v>47</v>
      </c>
      <c r="C16">
        <v>18.299999999999997</v>
      </c>
      <c r="D16">
        <v>9.1999999999999993</v>
      </c>
      <c r="E16">
        <v>7.8</v>
      </c>
      <c r="G16" s="80">
        <v>40</v>
      </c>
      <c r="H16">
        <v>22</v>
      </c>
      <c r="I16">
        <v>13</v>
      </c>
      <c r="J16">
        <v>0</v>
      </c>
      <c r="L16" s="81" t="s">
        <v>47</v>
      </c>
      <c r="M16" s="86"/>
      <c r="N16" s="86">
        <v>18.299999999999997</v>
      </c>
      <c r="O16" s="86">
        <v>9.1999999999999993</v>
      </c>
      <c r="P16" s="86">
        <v>7.8</v>
      </c>
      <c r="Q16" s="86"/>
      <c r="R16" s="82">
        <v>40</v>
      </c>
      <c r="S16">
        <v>22</v>
      </c>
      <c r="T16">
        <v>13</v>
      </c>
      <c r="U16">
        <v>0</v>
      </c>
    </row>
    <row r="17" spans="1:21" x14ac:dyDescent="0.2">
      <c r="A17" s="78">
        <v>2570</v>
      </c>
      <c r="G17" s="80"/>
      <c r="L17" s="81">
        <v>2570</v>
      </c>
      <c r="M17" s="86"/>
      <c r="N17" s="86"/>
      <c r="O17" s="86"/>
      <c r="P17" s="86"/>
      <c r="Q17" s="86"/>
      <c r="R17" s="82"/>
    </row>
    <row r="18" spans="1:21" x14ac:dyDescent="0.2">
      <c r="A18" s="79" t="s">
        <v>66</v>
      </c>
      <c r="D18">
        <v>12.21</v>
      </c>
      <c r="E18">
        <v>12.319999999999999</v>
      </c>
      <c r="F18">
        <v>2.1999999999999997</v>
      </c>
      <c r="G18" s="80">
        <v>0</v>
      </c>
      <c r="H18">
        <v>21</v>
      </c>
      <c r="I18">
        <v>8</v>
      </c>
      <c r="J18">
        <v>6</v>
      </c>
      <c r="L18" s="81" t="s">
        <v>66</v>
      </c>
      <c r="M18" s="86"/>
      <c r="N18" s="86"/>
      <c r="O18" s="86">
        <v>12.21</v>
      </c>
      <c r="P18" s="86">
        <v>12.319999999999999</v>
      </c>
      <c r="Q18" s="86">
        <v>2.1999999999999997</v>
      </c>
      <c r="R18" s="82">
        <v>0</v>
      </c>
      <c r="S18">
        <v>21</v>
      </c>
      <c r="T18">
        <v>8</v>
      </c>
      <c r="U18">
        <v>6</v>
      </c>
    </row>
    <row r="19" spans="1:21" x14ac:dyDescent="0.2">
      <c r="A19" s="79" t="s">
        <v>59</v>
      </c>
      <c r="B19">
        <v>6.3</v>
      </c>
      <c r="C19">
        <v>1.73</v>
      </c>
      <c r="D19">
        <v>35.519999999999996</v>
      </c>
      <c r="E19">
        <v>94.5</v>
      </c>
      <c r="G19" s="80">
        <v>19</v>
      </c>
      <c r="H19">
        <v>42</v>
      </c>
      <c r="I19">
        <v>84</v>
      </c>
      <c r="J19">
        <v>0</v>
      </c>
      <c r="L19" s="81" t="s">
        <v>59</v>
      </c>
      <c r="M19" s="86">
        <v>6.3</v>
      </c>
      <c r="N19" s="86">
        <v>1.73</v>
      </c>
      <c r="O19" s="86">
        <v>35.519999999999996</v>
      </c>
      <c r="P19" s="86">
        <v>94.5</v>
      </c>
      <c r="Q19" s="86"/>
      <c r="R19" s="82">
        <v>19</v>
      </c>
      <c r="S19">
        <v>42</v>
      </c>
      <c r="T19">
        <v>84</v>
      </c>
      <c r="U19">
        <v>0</v>
      </c>
    </row>
    <row r="20" spans="1:21" x14ac:dyDescent="0.2">
      <c r="A20" s="79" t="s">
        <v>41</v>
      </c>
      <c r="B20">
        <v>1</v>
      </c>
      <c r="C20">
        <v>0.5</v>
      </c>
      <c r="D20">
        <v>30.78</v>
      </c>
      <c r="E20">
        <v>95.839999999999989</v>
      </c>
      <c r="F20">
        <v>13.059999999999999</v>
      </c>
      <c r="G20" s="80">
        <v>5</v>
      </c>
      <c r="H20">
        <v>40</v>
      </c>
      <c r="I20">
        <v>93</v>
      </c>
      <c r="J20">
        <v>22</v>
      </c>
      <c r="L20" s="81" t="s">
        <v>41</v>
      </c>
      <c r="M20" s="86">
        <v>1</v>
      </c>
      <c r="N20" s="86">
        <v>0.5</v>
      </c>
      <c r="O20" s="86">
        <v>30.78</v>
      </c>
      <c r="P20" s="86">
        <v>95.839999999999989</v>
      </c>
      <c r="Q20" s="86">
        <v>13.059999999999999</v>
      </c>
      <c r="R20" s="82">
        <v>5</v>
      </c>
      <c r="S20">
        <v>40</v>
      </c>
      <c r="T20">
        <v>93</v>
      </c>
      <c r="U20">
        <v>22</v>
      </c>
    </row>
    <row r="21" spans="1:21" x14ac:dyDescent="0.2">
      <c r="A21" s="79" t="s">
        <v>47</v>
      </c>
      <c r="D21">
        <v>47.949999999999996</v>
      </c>
      <c r="E21">
        <v>88.410000000000011</v>
      </c>
      <c r="G21" s="80">
        <v>0</v>
      </c>
      <c r="H21">
        <v>56</v>
      </c>
      <c r="I21">
        <v>68</v>
      </c>
      <c r="J21">
        <v>0</v>
      </c>
      <c r="L21" s="81" t="s">
        <v>47</v>
      </c>
      <c r="M21" s="86"/>
      <c r="N21" s="86"/>
      <c r="O21" s="86">
        <v>47.949999999999996</v>
      </c>
      <c r="P21" s="86">
        <v>88.410000000000011</v>
      </c>
      <c r="Q21" s="86"/>
      <c r="R21" s="82">
        <v>0</v>
      </c>
      <c r="S21">
        <v>56</v>
      </c>
      <c r="T21">
        <v>68</v>
      </c>
      <c r="U21">
        <v>0</v>
      </c>
    </row>
    <row r="22" spans="1:21" x14ac:dyDescent="0.2">
      <c r="A22" s="78">
        <v>2571</v>
      </c>
      <c r="G22" s="80"/>
      <c r="L22" s="81">
        <v>2571</v>
      </c>
      <c r="M22" s="86"/>
      <c r="N22" s="86"/>
      <c r="O22" s="86"/>
      <c r="P22" s="86"/>
      <c r="Q22" s="86"/>
      <c r="R22" s="82"/>
    </row>
    <row r="23" spans="1:21" x14ac:dyDescent="0.2">
      <c r="A23" s="79" t="s">
        <v>66</v>
      </c>
      <c r="B23">
        <v>1.21</v>
      </c>
      <c r="E23">
        <v>3.74</v>
      </c>
      <c r="G23" s="80">
        <v>4</v>
      </c>
      <c r="H23">
        <v>0</v>
      </c>
      <c r="I23">
        <v>7</v>
      </c>
      <c r="J23">
        <v>0</v>
      </c>
      <c r="L23" s="81" t="s">
        <v>66</v>
      </c>
      <c r="M23" s="86">
        <v>1.21</v>
      </c>
      <c r="N23" s="86"/>
      <c r="O23" s="86"/>
      <c r="P23" s="86">
        <v>3.74</v>
      </c>
      <c r="Q23" s="86"/>
      <c r="R23" s="82">
        <v>4</v>
      </c>
      <c r="S23">
        <v>0</v>
      </c>
      <c r="T23">
        <v>7</v>
      </c>
      <c r="U23">
        <v>0</v>
      </c>
    </row>
    <row r="24" spans="1:21" x14ac:dyDescent="0.2">
      <c r="A24" s="79" t="s">
        <v>59</v>
      </c>
      <c r="D24">
        <v>7.6999999999999993</v>
      </c>
      <c r="E24">
        <v>58.78</v>
      </c>
      <c r="G24" s="80">
        <v>0</v>
      </c>
      <c r="H24">
        <v>14</v>
      </c>
      <c r="I24">
        <v>48</v>
      </c>
      <c r="J24">
        <v>0</v>
      </c>
      <c r="L24" s="81" t="s">
        <v>59</v>
      </c>
      <c r="M24" s="86"/>
      <c r="N24" s="86"/>
      <c r="O24" s="86">
        <v>7.6999999999999993</v>
      </c>
      <c r="P24" s="86">
        <v>58.78</v>
      </c>
      <c r="Q24" s="86"/>
      <c r="R24" s="82">
        <v>0</v>
      </c>
      <c r="S24">
        <v>14</v>
      </c>
      <c r="T24">
        <v>48</v>
      </c>
      <c r="U24">
        <v>0</v>
      </c>
    </row>
    <row r="25" spans="1:21" x14ac:dyDescent="0.2">
      <c r="A25" s="79" t="s">
        <v>41</v>
      </c>
      <c r="D25">
        <v>56.259999999999991</v>
      </c>
      <c r="E25">
        <v>3.8499999999999996</v>
      </c>
      <c r="G25" s="80">
        <v>0</v>
      </c>
      <c r="H25">
        <v>46</v>
      </c>
      <c r="I25">
        <v>7</v>
      </c>
      <c r="J25">
        <v>0</v>
      </c>
      <c r="L25" s="81" t="s">
        <v>41</v>
      </c>
      <c r="M25" s="86"/>
      <c r="N25" s="86"/>
      <c r="O25" s="86">
        <v>56.259999999999991</v>
      </c>
      <c r="P25" s="86">
        <v>3.8499999999999996</v>
      </c>
      <c r="Q25" s="86"/>
      <c r="R25" s="82">
        <v>0</v>
      </c>
      <c r="S25">
        <v>46</v>
      </c>
      <c r="T25">
        <v>7</v>
      </c>
      <c r="U25">
        <v>0</v>
      </c>
    </row>
    <row r="26" spans="1:21" x14ac:dyDescent="0.2">
      <c r="A26" s="79" t="s">
        <v>47</v>
      </c>
      <c r="D26">
        <v>4.62</v>
      </c>
      <c r="E26">
        <v>22.88</v>
      </c>
      <c r="G26" s="80">
        <v>0</v>
      </c>
      <c r="H26">
        <v>8</v>
      </c>
      <c r="I26">
        <v>16</v>
      </c>
      <c r="J26">
        <v>0</v>
      </c>
      <c r="L26" s="81" t="s">
        <v>47</v>
      </c>
      <c r="M26" s="86"/>
      <c r="N26" s="86"/>
      <c r="O26" s="86">
        <v>4.62</v>
      </c>
      <c r="P26" s="86">
        <v>22.88</v>
      </c>
      <c r="Q26" s="86"/>
      <c r="R26" s="82">
        <v>0</v>
      </c>
      <c r="S26">
        <v>8</v>
      </c>
      <c r="T26">
        <v>16</v>
      </c>
      <c r="U26">
        <v>0</v>
      </c>
    </row>
    <row r="27" spans="1:21" x14ac:dyDescent="0.2">
      <c r="A27" s="78" t="s">
        <v>69</v>
      </c>
      <c r="G27" s="80"/>
      <c r="L27" s="81" t="s">
        <v>69</v>
      </c>
      <c r="M27" s="86"/>
      <c r="N27" s="86"/>
      <c r="O27" s="86"/>
      <c r="P27" s="86"/>
      <c r="Q27" s="86"/>
      <c r="R27" s="82"/>
    </row>
    <row r="28" spans="1:21" x14ac:dyDescent="0.2">
      <c r="A28" s="79" t="s">
        <v>69</v>
      </c>
      <c r="G28" s="80">
        <v>0</v>
      </c>
      <c r="H28">
        <v>0</v>
      </c>
      <c r="I28">
        <v>0</v>
      </c>
      <c r="J28">
        <v>0</v>
      </c>
      <c r="L28" s="81" t="s">
        <v>69</v>
      </c>
      <c r="M28" s="86"/>
      <c r="N28" s="86"/>
      <c r="O28" s="86"/>
      <c r="P28" s="86"/>
      <c r="Q28" s="86"/>
      <c r="R28" s="82">
        <v>0</v>
      </c>
      <c r="S28">
        <v>0</v>
      </c>
      <c r="T28">
        <v>0</v>
      </c>
      <c r="U28">
        <v>0</v>
      </c>
    </row>
    <row r="29" spans="1:21" x14ac:dyDescent="0.2">
      <c r="A29" s="78" t="s">
        <v>793</v>
      </c>
      <c r="B29">
        <v>12.149999999999999</v>
      </c>
      <c r="C29">
        <v>40.729999999999997</v>
      </c>
      <c r="D29">
        <v>270.44499999999999</v>
      </c>
      <c r="E29">
        <v>464.51</v>
      </c>
      <c r="F29">
        <v>26.519999999999996</v>
      </c>
      <c r="G29" s="80">
        <v>128</v>
      </c>
      <c r="H29">
        <v>377</v>
      </c>
      <c r="I29">
        <v>449</v>
      </c>
      <c r="J29">
        <v>43</v>
      </c>
      <c r="L29" t="s">
        <v>793</v>
      </c>
      <c r="M29" s="86">
        <v>12.149999999999999</v>
      </c>
      <c r="N29" s="86">
        <v>40.729999999999997</v>
      </c>
      <c r="O29" s="86">
        <v>270.44499999999999</v>
      </c>
      <c r="P29" s="86">
        <v>464.51</v>
      </c>
      <c r="Q29" s="86">
        <v>26.519999999999996</v>
      </c>
      <c r="R29" s="82">
        <v>128</v>
      </c>
      <c r="S29">
        <v>377</v>
      </c>
      <c r="T29">
        <v>449</v>
      </c>
      <c r="U29">
        <v>43</v>
      </c>
    </row>
    <row r="30" spans="1:21" x14ac:dyDescent="0.2">
      <c r="M30" s="86"/>
      <c r="N30" s="86"/>
      <c r="O30" s="86"/>
      <c r="P30" s="86"/>
      <c r="Q30" s="8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1A6E9-DD2C-423C-BAD2-26269E7F165B}">
  <dimension ref="B1:D7"/>
  <sheetViews>
    <sheetView workbookViewId="0">
      <selection activeCell="F16" sqref="F16"/>
    </sheetView>
  </sheetViews>
  <sheetFormatPr defaultRowHeight="15" x14ac:dyDescent="0.25"/>
  <cols>
    <col min="1" max="2" width="9" style="87"/>
    <col min="3" max="3" width="13" style="87" customWidth="1"/>
    <col min="4" max="4" width="11.125" style="87" bestFit="1" customWidth="1"/>
    <col min="5" max="16384" width="9" style="87"/>
  </cols>
  <sheetData>
    <row r="1" spans="2:4" x14ac:dyDescent="0.25">
      <c r="B1" s="90" t="s">
        <v>807</v>
      </c>
      <c r="C1" s="90"/>
      <c r="D1" s="90"/>
    </row>
    <row r="2" spans="2:4" x14ac:dyDescent="0.25">
      <c r="B2" s="88" t="s">
        <v>808</v>
      </c>
      <c r="C2" s="88" t="s">
        <v>805</v>
      </c>
      <c r="D2" s="88" t="s">
        <v>806</v>
      </c>
    </row>
    <row r="3" spans="2:4" x14ac:dyDescent="0.25">
      <c r="B3" s="88" t="s">
        <v>87</v>
      </c>
      <c r="C3" s="89">
        <v>52262</v>
      </c>
      <c r="D3" s="89">
        <v>34330</v>
      </c>
    </row>
    <row r="4" spans="2:4" x14ac:dyDescent="0.25">
      <c r="B4" s="88" t="s">
        <v>453</v>
      </c>
      <c r="C4" s="89">
        <v>75440</v>
      </c>
      <c r="D4" s="89">
        <v>44150</v>
      </c>
    </row>
    <row r="5" spans="2:4" x14ac:dyDescent="0.25">
      <c r="B5" s="88" t="s">
        <v>53</v>
      </c>
      <c r="C5" s="89">
        <v>117872</v>
      </c>
      <c r="D5" s="89">
        <v>70670</v>
      </c>
    </row>
    <row r="6" spans="2:4" x14ac:dyDescent="0.25">
      <c r="B6" s="88" t="s">
        <v>40</v>
      </c>
      <c r="C6" s="89">
        <v>195510</v>
      </c>
      <c r="D6" s="89">
        <v>127340</v>
      </c>
    </row>
    <row r="7" spans="2:4" x14ac:dyDescent="0.25">
      <c r="B7" s="88" t="s">
        <v>185</v>
      </c>
      <c r="C7" s="89">
        <v>292890</v>
      </c>
      <c r="D7" s="89">
        <v>195260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DC0482A0B38144A7004855B87E484A" ma:contentTypeVersion="12" ma:contentTypeDescription="Create a new document." ma:contentTypeScope="" ma:versionID="6b114444de91b89c38fe4c8700da38c4">
  <xsd:schema xmlns:xsd="http://www.w3.org/2001/XMLSchema" xmlns:xs="http://www.w3.org/2001/XMLSchema" xmlns:p="http://schemas.microsoft.com/office/2006/metadata/properties" xmlns:ns2="ff3b3f29-b82e-450d-88cd-3880519772bf" xmlns:ns3="93f0305a-db57-4a47-ba07-cab9396f20df" targetNamespace="http://schemas.microsoft.com/office/2006/metadata/properties" ma:root="true" ma:fieldsID="230237ff803935a07d521ced0817110e" ns2:_="" ns3:_="">
    <xsd:import namespace="ff3b3f29-b82e-450d-88cd-3880519772bf"/>
    <xsd:import namespace="93f0305a-db57-4a47-ba07-cab9396f20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3b3f29-b82e-450d-88cd-3880519772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1199cc3-bf90-4b64-8c5f-8a10afa5d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f0305a-db57-4a47-ba07-cab9396f20d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d3fdf3b-4f53-462d-8112-d92d7dfb37f6}" ma:internalName="TaxCatchAll" ma:showField="CatchAllData" ma:web="93f0305a-db57-4a47-ba07-cab9396f20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f0305a-db57-4a47-ba07-cab9396f20df" xsi:nil="true"/>
    <lcf76f155ced4ddcb4097134ff3c332f xmlns="ff3b3f29-b82e-450d-88cd-3880519772b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484C9E-10A8-4F54-90E5-99EF7554A7B7}"/>
</file>

<file path=customXml/itemProps2.xml><?xml version="1.0" encoding="utf-8"?>
<ds:datastoreItem xmlns:ds="http://schemas.openxmlformats.org/officeDocument/2006/customXml" ds:itemID="{E6980821-83B0-4DA0-B361-871A6B74793A}">
  <ds:schemaRefs>
    <ds:schemaRef ds:uri="http://schemas.microsoft.com/office/2006/metadata/properties"/>
    <ds:schemaRef ds:uri="http://schemas.microsoft.com/office/infopath/2007/PartnerControls"/>
    <ds:schemaRef ds:uri="93f0305a-db57-4a47-ba07-cab9396f20df"/>
    <ds:schemaRef ds:uri="ff3b3f29-b82e-450d-88cd-3880519772bf"/>
  </ds:schemaRefs>
</ds:datastoreItem>
</file>

<file path=customXml/itemProps3.xml><?xml version="1.0" encoding="utf-8"?>
<ds:datastoreItem xmlns:ds="http://schemas.openxmlformats.org/officeDocument/2006/customXml" ds:itemID="{C1EEC42A-DF9E-439E-9476-0BE7B8A4D91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c72a69d-38fd-413a-911b-1defb46dfbec}" enabled="0" method="" siteId="{8c72a69d-38fd-413a-911b-1defb46dfbe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UG_NBT y2569-2571</vt:lpstr>
      <vt:lpstr>UG_NBT y2569-2571 (mat)</vt:lpstr>
      <vt:lpstr>PV</vt:lpstr>
      <vt:lpstr>Average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Eknarin Ponsaeng</dc:creator>
  <cp:keywords/>
  <dc:description/>
  <cp:lastModifiedBy>Eknarin Ponsaeng</cp:lastModifiedBy>
  <cp:revision/>
  <dcterms:created xsi:type="dcterms:W3CDTF">2015-06-05T18:17:20Z</dcterms:created>
  <dcterms:modified xsi:type="dcterms:W3CDTF">2026-07-13T11:03:50Z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0x01010030DC0482A0B38144A7004855B87E484A</vt:lpwstr>
  </property>
  <property fmtid="{D5CDD505-2E9C-101B-9397-08002B2CF9AE}" pid="3" name="MediaServiceImageTags">
    <vt:lpwstr/>
  </property>
</Properties>
</file>